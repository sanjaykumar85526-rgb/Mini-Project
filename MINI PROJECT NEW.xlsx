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ENTRI APP DATA ANALYTICS\"/>
    </mc:Choice>
  </mc:AlternateContent>
  <xr:revisionPtr revIDLastSave="0" documentId="8_{92A9FC43-9913-433E-BBB0-4DDE877B0A53}" xr6:coauthVersionLast="47" xr6:coauthVersionMax="47" xr10:uidLastSave="{00000000-0000-0000-0000-000000000000}"/>
  <bookViews>
    <workbookView xWindow="-108" yWindow="-108" windowWidth="23256" windowHeight="12456" xr2:uid="{78E51599-AC51-48E2-B8ED-31EEFC33A989}"/>
  </bookViews>
  <sheets>
    <sheet name="CLEANED DATA" sheetId="4" r:id="rId1"/>
    <sheet name="sales_dataset" sheetId="2" r:id="rId2"/>
  </sheets>
  <definedNames>
    <definedName name="ExternalData_1" localSheetId="1" hidden="1">sales_dataset!$C$1:$AB$511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2" i="4"/>
  <c r="AD9" i="2"/>
  <c r="AD17" i="2"/>
  <c r="AD25" i="2"/>
  <c r="AD33" i="2"/>
  <c r="AD41" i="2"/>
  <c r="AD49" i="2"/>
  <c r="AD65" i="2"/>
  <c r="AD73" i="2"/>
  <c r="AD81" i="2"/>
  <c r="AD97" i="2"/>
  <c r="AD105" i="2"/>
  <c r="AD113" i="2"/>
  <c r="AD121" i="2"/>
  <c r="AD129" i="2"/>
  <c r="AD137" i="2"/>
  <c r="AD145" i="2"/>
  <c r="AD153" i="2"/>
  <c r="AD161" i="2"/>
  <c r="AD169" i="2"/>
  <c r="AD177" i="2"/>
  <c r="AD185" i="2"/>
  <c r="AD193" i="2"/>
  <c r="AD201" i="2"/>
  <c r="AD209" i="2"/>
  <c r="AD217" i="2"/>
  <c r="AD225" i="2"/>
  <c r="AD233" i="2"/>
  <c r="AD241" i="2"/>
  <c r="AD249" i="2"/>
  <c r="AD257" i="2"/>
  <c r="AD265" i="2"/>
  <c r="AD273" i="2"/>
  <c r="AD281" i="2"/>
  <c r="AD289" i="2"/>
  <c r="AD297" i="2"/>
  <c r="AD305" i="2"/>
  <c r="AD313" i="2"/>
  <c r="AD321" i="2"/>
  <c r="AD329" i="2"/>
  <c r="AD337" i="2"/>
  <c r="AD353" i="2"/>
  <c r="AD361" i="2"/>
  <c r="AD369" i="2"/>
  <c r="AD377" i="2"/>
  <c r="AD385" i="2"/>
  <c r="AD393" i="2"/>
  <c r="AD401" i="2"/>
  <c r="AD417" i="2"/>
  <c r="AD425" i="2"/>
  <c r="AD433" i="2"/>
  <c r="AD441" i="2"/>
  <c r="AD449" i="2"/>
  <c r="AD457" i="2"/>
  <c r="AD465" i="2"/>
  <c r="AD473" i="2"/>
  <c r="AD481" i="2"/>
  <c r="AD489" i="2"/>
  <c r="AD497" i="2"/>
  <c r="AD505" i="2"/>
  <c r="N472" i="4"/>
  <c r="N1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2" i="4" s="1"/>
  <c r="I494" i="4"/>
  <c r="I491" i="4" s="1"/>
  <c r="I493" i="4"/>
  <c r="I490" i="4" s="1"/>
  <c r="I489" i="4"/>
  <c r="I488" i="4"/>
  <c r="I487" i="4"/>
  <c r="I486" i="4"/>
  <c r="I485" i="4"/>
  <c r="I482" i="4" s="1"/>
  <c r="I484" i="4"/>
  <c r="I483" i="4"/>
  <c r="I481" i="4"/>
  <c r="I480" i="4"/>
  <c r="I479" i="4"/>
  <c r="I476" i="4" s="1"/>
  <c r="I478" i="4"/>
  <c r="I477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58" i="4" s="1"/>
  <c r="I460" i="4"/>
  <c r="I457" i="4" s="1"/>
  <c r="I459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7" i="4" s="1"/>
  <c r="I439" i="4"/>
  <c r="I438" i="4"/>
  <c r="I436" i="4"/>
  <c r="I435" i="4"/>
  <c r="I434" i="4"/>
  <c r="I431" i="4" s="1"/>
  <c r="I433" i="4"/>
  <c r="I432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5" i="4" s="1"/>
  <c r="I392" i="4" s="1"/>
  <c r="I397" i="4"/>
  <c r="I396" i="4"/>
  <c r="I393" i="4" s="1"/>
  <c r="I394" i="4"/>
  <c r="I391" i="4"/>
  <c r="I390" i="4"/>
  <c r="I389" i="4"/>
  <c r="I386" i="4" s="1"/>
  <c r="I388" i="4"/>
  <c r="I387" i="4"/>
  <c r="I385" i="4"/>
  <c r="I384" i="4"/>
  <c r="I383" i="4"/>
  <c r="I380" i="4" s="1"/>
  <c r="I382" i="4"/>
  <c r="I381" i="4"/>
  <c r="I378" i="4" s="1"/>
  <c r="I379" i="4"/>
  <c r="I377" i="4"/>
  <c r="I376" i="4"/>
  <c r="I375" i="4"/>
  <c r="I374" i="4"/>
  <c r="I373" i="4"/>
  <c r="I372" i="4"/>
  <c r="I371" i="4"/>
  <c r="I368" i="4" s="1"/>
  <c r="I370" i="4"/>
  <c r="I369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1" i="4" s="1"/>
  <c r="I348" i="4" s="1"/>
  <c r="I353" i="4"/>
  <c r="I350" i="4" s="1"/>
  <c r="I352" i="4"/>
  <c r="I349" i="4"/>
  <c r="I347" i="4"/>
  <c r="I344" i="4" s="1"/>
  <c r="I346" i="4"/>
  <c r="I345" i="4"/>
  <c r="I343" i="4"/>
  <c r="I342" i="4"/>
  <c r="I341" i="4"/>
  <c r="I340" i="4"/>
  <c r="I339" i="4"/>
  <c r="I338" i="4"/>
  <c r="I335" i="4" s="1"/>
  <c r="I337" i="4"/>
  <c r="I336" i="4"/>
  <c r="I334" i="4"/>
  <c r="I333" i="4"/>
  <c r="I332" i="4"/>
  <c r="I331" i="4"/>
  <c r="I330" i="4"/>
  <c r="I327" i="4" s="1"/>
  <c r="I329" i="4"/>
  <c r="I328" i="4"/>
  <c r="I326" i="4"/>
  <c r="I323" i="4" s="1"/>
  <c r="I325" i="4"/>
  <c r="I324" i="4"/>
  <c r="I322" i="4"/>
  <c r="I321" i="4"/>
  <c r="I320" i="4"/>
  <c r="I317" i="4" s="1"/>
  <c r="I319" i="4"/>
  <c r="I318" i="4"/>
  <c r="I316" i="4"/>
  <c r="I315" i="4"/>
  <c r="I314" i="4"/>
  <c r="I313" i="4"/>
  <c r="I312" i="4"/>
  <c r="I309" i="4" s="1"/>
  <c r="I311" i="4"/>
  <c r="I310" i="4"/>
  <c r="I308" i="4"/>
  <c r="I307" i="4"/>
  <c r="I304" i="4" s="1"/>
  <c r="I306" i="4"/>
  <c r="I305" i="4"/>
  <c r="I302" i="4" s="1"/>
  <c r="I303" i="4"/>
  <c r="I301" i="4"/>
  <c r="I300" i="4"/>
  <c r="I299" i="4"/>
  <c r="I298" i="4"/>
  <c r="I297" i="4"/>
  <c r="I296" i="4"/>
  <c r="I293" i="4" s="1"/>
  <c r="I290" i="4" s="1"/>
  <c r="I287" i="4" s="1"/>
  <c r="I295" i="4"/>
  <c r="I292" i="4" s="1"/>
  <c r="I294" i="4"/>
  <c r="I291" i="4"/>
  <c r="I289" i="4"/>
  <c r="I288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6" i="4" s="1"/>
  <c r="I268" i="4"/>
  <c r="I265" i="4" s="1"/>
  <c r="I267" i="4"/>
  <c r="I264" i="4"/>
  <c r="I263" i="4"/>
  <c r="I262" i="4"/>
  <c r="I259" i="4" s="1"/>
  <c r="I261" i="4"/>
  <c r="I260" i="4"/>
  <c r="I258" i="4"/>
  <c r="I257" i="4"/>
  <c r="I256" i="4"/>
  <c r="I255" i="4"/>
  <c r="I254" i="4"/>
  <c r="I253" i="4"/>
  <c r="I252" i="4"/>
  <c r="I249" i="4" s="1"/>
  <c r="I246" i="4" s="1"/>
  <c r="I251" i="4"/>
  <c r="I250" i="4"/>
  <c r="I248" i="4"/>
  <c r="I245" i="4" s="1"/>
  <c r="I247" i="4"/>
  <c r="I244" i="4"/>
  <c r="I243" i="4"/>
  <c r="I242" i="4"/>
  <c r="I241" i="4"/>
  <c r="I240" i="4"/>
  <c r="I239" i="4"/>
  <c r="I236" i="4" s="1"/>
  <c r="I233" i="4" s="1"/>
  <c r="I238" i="4"/>
  <c r="I237" i="4"/>
  <c r="I235" i="4"/>
  <c r="I234" i="4"/>
  <c r="I232" i="4"/>
  <c r="I231" i="4"/>
  <c r="I228" i="4" s="1"/>
  <c r="I230" i="4"/>
  <c r="I229" i="4"/>
  <c r="I227" i="4"/>
  <c r="I226" i="4"/>
  <c r="I223" i="4" s="1"/>
  <c r="I225" i="4"/>
  <c r="I224" i="4"/>
  <c r="I222" i="4"/>
  <c r="I221" i="4"/>
  <c r="I218" i="4" s="1"/>
  <c r="I220" i="4"/>
  <c r="I219" i="4"/>
  <c r="I217" i="4"/>
  <c r="I214" i="4" s="1"/>
  <c r="I216" i="4"/>
  <c r="I215" i="4"/>
  <c r="I213" i="4"/>
  <c r="I210" i="4" s="1"/>
  <c r="I212" i="4"/>
  <c r="I209" i="4" s="1"/>
  <c r="I211" i="4"/>
  <c r="I208" i="4" s="1"/>
  <c r="I207" i="4"/>
  <c r="I204" i="4" s="1"/>
  <c r="I206" i="4"/>
  <c r="I203" i="4" s="1"/>
  <c r="I205" i="4"/>
  <c r="I202" i="4"/>
  <c r="I201" i="4"/>
  <c r="I200" i="4"/>
  <c r="I199" i="4"/>
  <c r="I198" i="4"/>
  <c r="I197" i="4"/>
  <c r="I196" i="4"/>
  <c r="I195" i="4"/>
  <c r="I194" i="4"/>
  <c r="I191" i="4" s="1"/>
  <c r="I193" i="4"/>
  <c r="I192" i="4"/>
  <c r="I190" i="4"/>
  <c r="I189" i="4"/>
  <c r="I188" i="4"/>
  <c r="I187" i="4"/>
  <c r="I184" i="4" s="1"/>
  <c r="I186" i="4"/>
  <c r="I185" i="4"/>
  <c r="I183" i="4"/>
  <c r="I182" i="4"/>
  <c r="I181" i="4"/>
  <c r="I180" i="4"/>
  <c r="I179" i="4"/>
  <c r="I178" i="4"/>
  <c r="I177" i="4"/>
  <c r="I174" i="4" s="1"/>
  <c r="I176" i="4"/>
  <c r="I175" i="4"/>
  <c r="I173" i="4"/>
  <c r="I172" i="4"/>
  <c r="I171" i="4"/>
  <c r="I170" i="4"/>
  <c r="I169" i="4"/>
  <c r="I168" i="4"/>
  <c r="I165" i="4" s="1"/>
  <c r="I167" i="4"/>
  <c r="I166" i="4"/>
  <c r="I164" i="4"/>
  <c r="I163" i="4"/>
  <c r="I162" i="4"/>
  <c r="I161" i="4"/>
  <c r="I160" i="4"/>
  <c r="I159" i="4"/>
  <c r="I158" i="4"/>
  <c r="I155" i="4" s="1"/>
  <c r="I157" i="4"/>
  <c r="I156" i="4"/>
  <c r="I154" i="4"/>
  <c r="I153" i="4"/>
  <c r="I150" i="4" s="1"/>
  <c r="I152" i="4"/>
  <c r="I151" i="4"/>
  <c r="I148" i="4" s="1"/>
  <c r="I149" i="4"/>
  <c r="I147" i="4"/>
  <c r="I146" i="4"/>
  <c r="I145" i="4"/>
  <c r="I144" i="4"/>
  <c r="I143" i="4"/>
  <c r="I142" i="4"/>
  <c r="I141" i="4"/>
  <c r="I138" i="4" s="1"/>
  <c r="I140" i="4"/>
  <c r="I137" i="4" s="1"/>
  <c r="I139" i="4"/>
  <c r="I136" i="4"/>
  <c r="I135" i="4"/>
  <c r="I134" i="4"/>
  <c r="I133" i="4"/>
  <c r="I130" i="4" s="1"/>
  <c r="I132" i="4"/>
  <c r="I131" i="4"/>
  <c r="I129" i="4"/>
  <c r="I128" i="4"/>
  <c r="I125" i="4" s="1"/>
  <c r="I127" i="4"/>
  <c r="I126" i="4"/>
  <c r="I124" i="4"/>
  <c r="I123" i="4"/>
  <c r="I122" i="4"/>
  <c r="I119" i="4" s="1"/>
  <c r="I121" i="4"/>
  <c r="I120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4" i="4" s="1"/>
  <c r="I106" i="4"/>
  <c r="I105" i="4"/>
  <c r="I103" i="4"/>
  <c r="I102" i="4"/>
  <c r="I101" i="4"/>
  <c r="I100" i="4"/>
  <c r="I99" i="4"/>
  <c r="I98" i="4"/>
  <c r="I97" i="4"/>
  <c r="I96" i="4"/>
  <c r="I95" i="4"/>
  <c r="I92" i="4" s="1"/>
  <c r="I94" i="4"/>
  <c r="I93" i="4"/>
  <c r="I91" i="4"/>
  <c r="I88" i="4" s="1"/>
  <c r="I90" i="4"/>
  <c r="I87" i="4" s="1"/>
  <c r="I89" i="4"/>
  <c r="I86" i="4"/>
  <c r="I85" i="4"/>
  <c r="I84" i="4"/>
  <c r="I81" i="4" s="1"/>
  <c r="I78" i="4" s="1"/>
  <c r="I83" i="4"/>
  <c r="I80" i="4" s="1"/>
  <c r="I82" i="4"/>
  <c r="I79" i="4"/>
  <c r="I77" i="4"/>
  <c r="I76" i="4"/>
  <c r="I75" i="4"/>
  <c r="I74" i="4"/>
  <c r="I73" i="4"/>
  <c r="I72" i="4"/>
  <c r="I69" i="4" s="1"/>
  <c r="I71" i="4"/>
  <c r="I70" i="4"/>
  <c r="I68" i="4"/>
  <c r="I67" i="4"/>
  <c r="I64" i="4" s="1"/>
  <c r="I66" i="4"/>
  <c r="I65" i="4"/>
  <c r="I63" i="4"/>
  <c r="I62" i="4"/>
  <c r="I59" i="4" s="1"/>
  <c r="I61" i="4"/>
  <c r="I60" i="4"/>
  <c r="I58" i="4"/>
  <c r="I57" i="4"/>
  <c r="I56" i="4"/>
  <c r="I55" i="4"/>
  <c r="I54" i="4"/>
  <c r="I53" i="4"/>
  <c r="I52" i="4"/>
  <c r="I51" i="4"/>
  <c r="I50" i="4"/>
  <c r="I47" i="4" s="1"/>
  <c r="I44" i="4" s="1"/>
  <c r="I49" i="4"/>
  <c r="I48" i="4"/>
  <c r="I46" i="4"/>
  <c r="I43" i="4" s="1"/>
  <c r="I45" i="4"/>
  <c r="I42" i="4"/>
  <c r="I41" i="4"/>
  <c r="I40" i="4"/>
  <c r="I39" i="4"/>
  <c r="I38" i="4"/>
  <c r="I37" i="4"/>
  <c r="I36" i="4"/>
  <c r="I35" i="4"/>
  <c r="I34" i="4"/>
  <c r="I31" i="4" s="1"/>
  <c r="I28" i="4" s="1"/>
  <c r="I33" i="4"/>
  <c r="I32" i="4"/>
  <c r="I30" i="4"/>
  <c r="I29" i="4"/>
  <c r="I27" i="4"/>
  <c r="I26" i="4"/>
  <c r="I25" i="4"/>
  <c r="I24" i="4"/>
  <c r="I23" i="4"/>
  <c r="I22" i="4"/>
  <c r="I21" i="4"/>
  <c r="I20" i="4"/>
  <c r="I19" i="4"/>
  <c r="I16" i="4" s="1"/>
  <c r="I18" i="4"/>
  <c r="I15" i="4" s="1"/>
  <c r="I17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AC511" i="2"/>
  <c r="AD511" i="2" s="1"/>
  <c r="Z511" i="2"/>
  <c r="N511" i="4" s="1"/>
  <c r="W511" i="2"/>
  <c r="M511" i="4" s="1"/>
  <c r="R511" i="2"/>
  <c r="K511" i="4" s="1"/>
  <c r="K511" i="2"/>
  <c r="G511" i="4" s="1"/>
  <c r="AC510" i="2"/>
  <c r="AD510" i="2" s="1"/>
  <c r="Z510" i="2"/>
  <c r="N510" i="4" s="1"/>
  <c r="W510" i="2"/>
  <c r="M510" i="4" s="1"/>
  <c r="R510" i="2"/>
  <c r="K510" i="4" s="1"/>
  <c r="K510" i="2"/>
  <c r="G510" i="4" s="1"/>
  <c r="AC509" i="2"/>
  <c r="AD509" i="2" s="1"/>
  <c r="Z509" i="2"/>
  <c r="N509" i="4" s="1"/>
  <c r="W509" i="2"/>
  <c r="M509" i="4" s="1"/>
  <c r="R509" i="2"/>
  <c r="K509" i="4" s="1"/>
  <c r="K509" i="2"/>
  <c r="G509" i="4" s="1"/>
  <c r="AC508" i="2"/>
  <c r="AD508" i="2" s="1"/>
  <c r="Z508" i="2"/>
  <c r="N508" i="4" s="1"/>
  <c r="W508" i="2"/>
  <c r="M508" i="4" s="1"/>
  <c r="R508" i="2"/>
  <c r="K508" i="4" s="1"/>
  <c r="K508" i="2"/>
  <c r="G508" i="4" s="1"/>
  <c r="AC507" i="2"/>
  <c r="AD507" i="2" s="1"/>
  <c r="Z507" i="2"/>
  <c r="N507" i="4" s="1"/>
  <c r="W507" i="2"/>
  <c r="M507" i="4" s="1"/>
  <c r="R507" i="2"/>
  <c r="K507" i="4" s="1"/>
  <c r="K507" i="2"/>
  <c r="G507" i="4" s="1"/>
  <c r="AC506" i="2"/>
  <c r="AD506" i="2" s="1"/>
  <c r="Z506" i="2"/>
  <c r="N506" i="4" s="1"/>
  <c r="W506" i="2"/>
  <c r="M506" i="4" s="1"/>
  <c r="R506" i="2"/>
  <c r="K506" i="4" s="1"/>
  <c r="K506" i="2"/>
  <c r="G506" i="4" s="1"/>
  <c r="AC505" i="2"/>
  <c r="Z505" i="2"/>
  <c r="N505" i="4" s="1"/>
  <c r="W505" i="2"/>
  <c r="M505" i="4" s="1"/>
  <c r="R505" i="2"/>
  <c r="K505" i="4" s="1"/>
  <c r="K505" i="2"/>
  <c r="G505" i="4" s="1"/>
  <c r="AC504" i="2"/>
  <c r="AD504" i="2" s="1"/>
  <c r="Z504" i="2"/>
  <c r="N504" i="4" s="1"/>
  <c r="W504" i="2"/>
  <c r="M504" i="4" s="1"/>
  <c r="R504" i="2"/>
  <c r="K504" i="4" s="1"/>
  <c r="K504" i="2"/>
  <c r="G504" i="4" s="1"/>
  <c r="AC503" i="2"/>
  <c r="AD503" i="2" s="1"/>
  <c r="Z503" i="2"/>
  <c r="N503" i="4" s="1"/>
  <c r="W503" i="2"/>
  <c r="M503" i="4" s="1"/>
  <c r="R503" i="2"/>
  <c r="K503" i="4" s="1"/>
  <c r="K503" i="2"/>
  <c r="G503" i="4" s="1"/>
  <c r="AC502" i="2"/>
  <c r="AD502" i="2" s="1"/>
  <c r="Z502" i="2"/>
  <c r="N502" i="4" s="1"/>
  <c r="W502" i="2"/>
  <c r="M502" i="4" s="1"/>
  <c r="R502" i="2"/>
  <c r="K502" i="4" s="1"/>
  <c r="K502" i="2"/>
  <c r="G502" i="4" s="1"/>
  <c r="AC501" i="2"/>
  <c r="AD501" i="2" s="1"/>
  <c r="Z501" i="2"/>
  <c r="N501" i="4" s="1"/>
  <c r="W501" i="2"/>
  <c r="M501" i="4" s="1"/>
  <c r="R501" i="2"/>
  <c r="K501" i="4" s="1"/>
  <c r="K501" i="2"/>
  <c r="G501" i="4" s="1"/>
  <c r="AC500" i="2"/>
  <c r="AD500" i="2" s="1"/>
  <c r="Z500" i="2"/>
  <c r="N500" i="4" s="1"/>
  <c r="W500" i="2"/>
  <c r="M500" i="4" s="1"/>
  <c r="R500" i="2"/>
  <c r="K500" i="4" s="1"/>
  <c r="K500" i="2"/>
  <c r="G500" i="4" s="1"/>
  <c r="AC499" i="2"/>
  <c r="AD499" i="2" s="1"/>
  <c r="Z499" i="2"/>
  <c r="N499" i="4" s="1"/>
  <c r="W499" i="2"/>
  <c r="M499" i="4" s="1"/>
  <c r="R499" i="2"/>
  <c r="K499" i="4" s="1"/>
  <c r="K499" i="2"/>
  <c r="G499" i="4" s="1"/>
  <c r="AC498" i="2"/>
  <c r="AD498" i="2" s="1"/>
  <c r="Z498" i="2"/>
  <c r="N498" i="4" s="1"/>
  <c r="W498" i="2"/>
  <c r="M498" i="4" s="1"/>
  <c r="R498" i="2"/>
  <c r="K498" i="4" s="1"/>
  <c r="K498" i="2"/>
  <c r="G498" i="4" s="1"/>
  <c r="AC497" i="2"/>
  <c r="Z497" i="2"/>
  <c r="N497" i="4" s="1"/>
  <c r="W497" i="2"/>
  <c r="M497" i="4" s="1"/>
  <c r="R497" i="2"/>
  <c r="K497" i="4" s="1"/>
  <c r="K497" i="2"/>
  <c r="G497" i="4" s="1"/>
  <c r="AC496" i="2"/>
  <c r="AD496" i="2" s="1"/>
  <c r="Z496" i="2"/>
  <c r="N496" i="4" s="1"/>
  <c r="W496" i="2"/>
  <c r="M496" i="4" s="1"/>
  <c r="R496" i="2"/>
  <c r="K496" i="4" s="1"/>
  <c r="K496" i="2"/>
  <c r="G496" i="4" s="1"/>
  <c r="AC495" i="2"/>
  <c r="AD495" i="2" s="1"/>
  <c r="Z495" i="2"/>
  <c r="N495" i="4" s="1"/>
  <c r="W495" i="2"/>
  <c r="M495" i="4" s="1"/>
  <c r="R495" i="2"/>
  <c r="K495" i="4" s="1"/>
  <c r="K495" i="2"/>
  <c r="G495" i="4" s="1"/>
  <c r="AC494" i="2"/>
  <c r="AD494" i="2" s="1"/>
  <c r="Z494" i="2"/>
  <c r="N494" i="4" s="1"/>
  <c r="W494" i="2"/>
  <c r="M494" i="4" s="1"/>
  <c r="R494" i="2"/>
  <c r="K494" i="4" s="1"/>
  <c r="K494" i="2"/>
  <c r="G494" i="4" s="1"/>
  <c r="AC493" i="2"/>
  <c r="AD493" i="2" s="1"/>
  <c r="Z493" i="2"/>
  <c r="N493" i="4" s="1"/>
  <c r="W493" i="2"/>
  <c r="M493" i="4" s="1"/>
  <c r="R493" i="2"/>
  <c r="K493" i="4" s="1"/>
  <c r="K493" i="2"/>
  <c r="G493" i="4" s="1"/>
  <c r="AC492" i="2"/>
  <c r="AD492" i="2" s="1"/>
  <c r="Z492" i="2"/>
  <c r="N492" i="4" s="1"/>
  <c r="W492" i="2"/>
  <c r="M492" i="4" s="1"/>
  <c r="R492" i="2"/>
  <c r="K492" i="4" s="1"/>
  <c r="K492" i="2"/>
  <c r="G492" i="4" s="1"/>
  <c r="AC491" i="2"/>
  <c r="AD491" i="2" s="1"/>
  <c r="Z491" i="2"/>
  <c r="N491" i="4" s="1"/>
  <c r="W491" i="2"/>
  <c r="M491" i="4" s="1"/>
  <c r="K491" i="2"/>
  <c r="G491" i="4" s="1"/>
  <c r="AC490" i="2"/>
  <c r="AD490" i="2" s="1"/>
  <c r="Z490" i="2"/>
  <c r="N490" i="4" s="1"/>
  <c r="W490" i="2"/>
  <c r="M490" i="4" s="1"/>
  <c r="R490" i="2"/>
  <c r="K490" i="4" s="1"/>
  <c r="K490" i="2"/>
  <c r="G490" i="4" s="1"/>
  <c r="AC489" i="2"/>
  <c r="Z489" i="2"/>
  <c r="N489" i="4" s="1"/>
  <c r="W489" i="2"/>
  <c r="M489" i="4" s="1"/>
  <c r="R489" i="2"/>
  <c r="K489" i="4" s="1"/>
  <c r="K489" i="2"/>
  <c r="G489" i="4" s="1"/>
  <c r="AC488" i="2"/>
  <c r="AD488" i="2" s="1"/>
  <c r="Z488" i="2"/>
  <c r="N488" i="4" s="1"/>
  <c r="W488" i="2"/>
  <c r="M488" i="4" s="1"/>
  <c r="R488" i="2"/>
  <c r="K488" i="4" s="1"/>
  <c r="K488" i="2"/>
  <c r="G488" i="4" s="1"/>
  <c r="AC487" i="2"/>
  <c r="AD487" i="2" s="1"/>
  <c r="Z487" i="2"/>
  <c r="N487" i="4" s="1"/>
  <c r="W487" i="2"/>
  <c r="M487" i="4" s="1"/>
  <c r="R487" i="2"/>
  <c r="K487" i="4" s="1"/>
  <c r="K487" i="2"/>
  <c r="G487" i="4" s="1"/>
  <c r="AC486" i="2"/>
  <c r="AD486" i="2" s="1"/>
  <c r="Z486" i="2"/>
  <c r="N486" i="4" s="1"/>
  <c r="W486" i="2"/>
  <c r="M486" i="4" s="1"/>
  <c r="R486" i="2"/>
  <c r="K486" i="4" s="1"/>
  <c r="K486" i="2"/>
  <c r="G486" i="4" s="1"/>
  <c r="AC485" i="2"/>
  <c r="AD485" i="2" s="1"/>
  <c r="Z485" i="2"/>
  <c r="N485" i="4" s="1"/>
  <c r="W485" i="2"/>
  <c r="M485" i="4" s="1"/>
  <c r="R485" i="2"/>
  <c r="K485" i="4" s="1"/>
  <c r="K485" i="2"/>
  <c r="G485" i="4" s="1"/>
  <c r="AC484" i="2"/>
  <c r="AD484" i="2" s="1"/>
  <c r="Z484" i="2"/>
  <c r="N484" i="4" s="1"/>
  <c r="W484" i="2"/>
  <c r="M484" i="4" s="1"/>
  <c r="R484" i="2"/>
  <c r="K484" i="4" s="1"/>
  <c r="K484" i="2"/>
  <c r="G484" i="4" s="1"/>
  <c r="AC483" i="2"/>
  <c r="AD483" i="2" s="1"/>
  <c r="Z483" i="2"/>
  <c r="N483" i="4" s="1"/>
  <c r="W483" i="2"/>
  <c r="M483" i="4" s="1"/>
  <c r="R483" i="2"/>
  <c r="K483" i="4" s="1"/>
  <c r="K483" i="2"/>
  <c r="G483" i="4" s="1"/>
  <c r="AC482" i="2"/>
  <c r="AD482" i="2" s="1"/>
  <c r="Z482" i="2"/>
  <c r="N482" i="4" s="1"/>
  <c r="W482" i="2"/>
  <c r="M482" i="4" s="1"/>
  <c r="R482" i="2"/>
  <c r="K482" i="4" s="1"/>
  <c r="K482" i="2"/>
  <c r="G482" i="4" s="1"/>
  <c r="AC481" i="2"/>
  <c r="Z481" i="2"/>
  <c r="N481" i="4" s="1"/>
  <c r="W481" i="2"/>
  <c r="M481" i="4" s="1"/>
  <c r="R481" i="2"/>
  <c r="K481" i="4" s="1"/>
  <c r="K481" i="2"/>
  <c r="G481" i="4" s="1"/>
  <c r="AC480" i="2"/>
  <c r="AD480" i="2" s="1"/>
  <c r="Z480" i="2"/>
  <c r="N480" i="4" s="1"/>
  <c r="W480" i="2"/>
  <c r="M480" i="4" s="1"/>
  <c r="R480" i="2"/>
  <c r="K480" i="4" s="1"/>
  <c r="K480" i="2"/>
  <c r="G480" i="4" s="1"/>
  <c r="AC479" i="2"/>
  <c r="AD479" i="2" s="1"/>
  <c r="Z479" i="2"/>
  <c r="N479" i="4" s="1"/>
  <c r="W479" i="2"/>
  <c r="M479" i="4" s="1"/>
  <c r="R479" i="2"/>
  <c r="K479" i="4" s="1"/>
  <c r="K479" i="2"/>
  <c r="G479" i="4" s="1"/>
  <c r="AC478" i="2"/>
  <c r="AD478" i="2" s="1"/>
  <c r="Z478" i="2"/>
  <c r="N478" i="4" s="1"/>
  <c r="W478" i="2"/>
  <c r="M478" i="4" s="1"/>
  <c r="R478" i="2"/>
  <c r="K478" i="4" s="1"/>
  <c r="K478" i="2"/>
  <c r="G478" i="4" s="1"/>
  <c r="AC477" i="2"/>
  <c r="AD477" i="2" s="1"/>
  <c r="Z477" i="2"/>
  <c r="N477" i="4" s="1"/>
  <c r="W477" i="2"/>
  <c r="M477" i="4" s="1"/>
  <c r="R477" i="2"/>
  <c r="K477" i="4" s="1"/>
  <c r="K477" i="2"/>
  <c r="G477" i="4" s="1"/>
  <c r="AC476" i="2"/>
  <c r="AD476" i="2" s="1"/>
  <c r="Z476" i="2"/>
  <c r="N476" i="4" s="1"/>
  <c r="W476" i="2"/>
  <c r="M476" i="4" s="1"/>
  <c r="R476" i="2"/>
  <c r="K476" i="4" s="1"/>
  <c r="K476" i="2"/>
  <c r="G476" i="4" s="1"/>
  <c r="AC475" i="2"/>
  <c r="AD475" i="2" s="1"/>
  <c r="Z475" i="2"/>
  <c r="N475" i="4" s="1"/>
  <c r="W475" i="2"/>
  <c r="M475" i="4" s="1"/>
  <c r="R475" i="2"/>
  <c r="K475" i="4" s="1"/>
  <c r="K475" i="2"/>
  <c r="G475" i="4" s="1"/>
  <c r="AC474" i="2"/>
  <c r="AD474" i="2" s="1"/>
  <c r="Z474" i="2"/>
  <c r="N474" i="4" s="1"/>
  <c r="W474" i="2"/>
  <c r="M474" i="4" s="1"/>
  <c r="R474" i="2"/>
  <c r="K474" i="4" s="1"/>
  <c r="K474" i="2"/>
  <c r="G474" i="4" s="1"/>
  <c r="AC473" i="2"/>
  <c r="Z473" i="2"/>
  <c r="N473" i="4" s="1"/>
  <c r="W473" i="2"/>
  <c r="M473" i="4" s="1"/>
  <c r="R473" i="2"/>
  <c r="K473" i="4" s="1"/>
  <c r="K473" i="2"/>
  <c r="G473" i="4" s="1"/>
  <c r="AC472" i="2"/>
  <c r="AD472" i="2" s="1"/>
  <c r="Z472" i="2"/>
  <c r="W472" i="2"/>
  <c r="M472" i="4" s="1"/>
  <c r="R472" i="2"/>
  <c r="K472" i="4" s="1"/>
  <c r="K472" i="2"/>
  <c r="G472" i="4" s="1"/>
  <c r="AC471" i="2"/>
  <c r="AD471" i="2" s="1"/>
  <c r="Z471" i="2"/>
  <c r="N471" i="4" s="1"/>
  <c r="W471" i="2"/>
  <c r="M471" i="4" s="1"/>
  <c r="R471" i="2"/>
  <c r="K471" i="4" s="1"/>
  <c r="K471" i="2"/>
  <c r="G471" i="4" s="1"/>
  <c r="AC470" i="2"/>
  <c r="AD470" i="2" s="1"/>
  <c r="Z470" i="2"/>
  <c r="N470" i="4" s="1"/>
  <c r="W470" i="2"/>
  <c r="M470" i="4" s="1"/>
  <c r="R470" i="2"/>
  <c r="K470" i="4" s="1"/>
  <c r="K470" i="2"/>
  <c r="G470" i="4" s="1"/>
  <c r="AC469" i="2"/>
  <c r="AD469" i="2" s="1"/>
  <c r="Z469" i="2"/>
  <c r="N469" i="4" s="1"/>
  <c r="W469" i="2"/>
  <c r="M469" i="4" s="1"/>
  <c r="R469" i="2"/>
  <c r="K469" i="4" s="1"/>
  <c r="K469" i="2"/>
  <c r="G469" i="4" s="1"/>
  <c r="AC468" i="2"/>
  <c r="AD468" i="2" s="1"/>
  <c r="Z468" i="2"/>
  <c r="N468" i="4" s="1"/>
  <c r="W468" i="2"/>
  <c r="M468" i="4" s="1"/>
  <c r="R468" i="2"/>
  <c r="K468" i="4" s="1"/>
  <c r="K468" i="2"/>
  <c r="G468" i="4" s="1"/>
  <c r="AC467" i="2"/>
  <c r="AD467" i="2" s="1"/>
  <c r="Z467" i="2"/>
  <c r="N467" i="4" s="1"/>
  <c r="W467" i="2"/>
  <c r="M467" i="4" s="1"/>
  <c r="R467" i="2"/>
  <c r="K467" i="4" s="1"/>
  <c r="K467" i="2"/>
  <c r="G467" i="4" s="1"/>
  <c r="AC466" i="2"/>
  <c r="AD466" i="2" s="1"/>
  <c r="Z466" i="2"/>
  <c r="N466" i="4" s="1"/>
  <c r="W466" i="2"/>
  <c r="M466" i="4" s="1"/>
  <c r="R466" i="2"/>
  <c r="K466" i="4" s="1"/>
  <c r="K466" i="2"/>
  <c r="G466" i="4" s="1"/>
  <c r="AC465" i="2"/>
  <c r="Z465" i="2"/>
  <c r="N465" i="4" s="1"/>
  <c r="W465" i="2"/>
  <c r="M465" i="4" s="1"/>
  <c r="R465" i="2"/>
  <c r="K465" i="4" s="1"/>
  <c r="K465" i="2"/>
  <c r="G465" i="4" s="1"/>
  <c r="AC464" i="2"/>
  <c r="AD464" i="2" s="1"/>
  <c r="Z464" i="2"/>
  <c r="N464" i="4" s="1"/>
  <c r="W464" i="2"/>
  <c r="M464" i="4" s="1"/>
  <c r="R464" i="2"/>
  <c r="K464" i="4" s="1"/>
  <c r="K464" i="2"/>
  <c r="G464" i="4" s="1"/>
  <c r="AC463" i="2"/>
  <c r="AD463" i="2" s="1"/>
  <c r="Z463" i="2"/>
  <c r="N463" i="4" s="1"/>
  <c r="W463" i="2"/>
  <c r="M463" i="4" s="1"/>
  <c r="R463" i="2"/>
  <c r="K463" i="4" s="1"/>
  <c r="K463" i="2"/>
  <c r="G463" i="4" s="1"/>
  <c r="AC462" i="2"/>
  <c r="AD462" i="2" s="1"/>
  <c r="Z462" i="2"/>
  <c r="N462" i="4" s="1"/>
  <c r="W462" i="2"/>
  <c r="M462" i="4" s="1"/>
  <c r="R462" i="2"/>
  <c r="K462" i="4" s="1"/>
  <c r="K462" i="2"/>
  <c r="G462" i="4" s="1"/>
  <c r="AC461" i="2"/>
  <c r="AD461" i="2" s="1"/>
  <c r="Z461" i="2"/>
  <c r="N461" i="4" s="1"/>
  <c r="W461" i="2"/>
  <c r="M461" i="4" s="1"/>
  <c r="R461" i="2"/>
  <c r="K461" i="4" s="1"/>
  <c r="K461" i="2"/>
  <c r="G461" i="4" s="1"/>
  <c r="AC460" i="2"/>
  <c r="AD460" i="2" s="1"/>
  <c r="Z460" i="2"/>
  <c r="N460" i="4" s="1"/>
  <c r="W460" i="2"/>
  <c r="M460" i="4" s="1"/>
  <c r="K460" i="2"/>
  <c r="G460" i="4" s="1"/>
  <c r="AC459" i="2"/>
  <c r="AD459" i="2" s="1"/>
  <c r="Z459" i="2"/>
  <c r="N459" i="4" s="1"/>
  <c r="W459" i="2"/>
  <c r="M459" i="4" s="1"/>
  <c r="R459" i="2"/>
  <c r="K459" i="4" s="1"/>
  <c r="K459" i="2"/>
  <c r="G459" i="4" s="1"/>
  <c r="AC458" i="2"/>
  <c r="AD458" i="2" s="1"/>
  <c r="Z458" i="2"/>
  <c r="N458" i="4" s="1"/>
  <c r="W458" i="2"/>
  <c r="M458" i="4" s="1"/>
  <c r="K458" i="2"/>
  <c r="G458" i="4" s="1"/>
  <c r="AC457" i="2"/>
  <c r="Z457" i="2"/>
  <c r="N457" i="4" s="1"/>
  <c r="W457" i="2"/>
  <c r="M457" i="4" s="1"/>
  <c r="R457" i="2"/>
  <c r="K457" i="4" s="1"/>
  <c r="K457" i="2"/>
  <c r="G457" i="4" s="1"/>
  <c r="AC456" i="2"/>
  <c r="AD456" i="2" s="1"/>
  <c r="Z456" i="2"/>
  <c r="N456" i="4" s="1"/>
  <c r="W456" i="2"/>
  <c r="M456" i="4" s="1"/>
  <c r="K456" i="2"/>
  <c r="G456" i="4" s="1"/>
  <c r="AC455" i="2"/>
  <c r="AD455" i="2" s="1"/>
  <c r="Z455" i="2"/>
  <c r="N455" i="4" s="1"/>
  <c r="W455" i="2"/>
  <c r="M455" i="4" s="1"/>
  <c r="R455" i="2"/>
  <c r="K455" i="4" s="1"/>
  <c r="K455" i="2"/>
  <c r="G455" i="4" s="1"/>
  <c r="AC454" i="2"/>
  <c r="AD454" i="2" s="1"/>
  <c r="Z454" i="2"/>
  <c r="N454" i="4" s="1"/>
  <c r="W454" i="2"/>
  <c r="M454" i="4" s="1"/>
  <c r="R454" i="2"/>
  <c r="K454" i="4" s="1"/>
  <c r="K454" i="2"/>
  <c r="G454" i="4" s="1"/>
  <c r="AC453" i="2"/>
  <c r="AD453" i="2" s="1"/>
  <c r="Z453" i="2"/>
  <c r="N453" i="4" s="1"/>
  <c r="W453" i="2"/>
  <c r="M453" i="4" s="1"/>
  <c r="K453" i="2"/>
  <c r="G453" i="4" s="1"/>
  <c r="AC452" i="2"/>
  <c r="AD452" i="2" s="1"/>
  <c r="Z452" i="2"/>
  <c r="N452" i="4" s="1"/>
  <c r="W452" i="2"/>
  <c r="M452" i="4" s="1"/>
  <c r="R452" i="2"/>
  <c r="K452" i="4" s="1"/>
  <c r="K452" i="2"/>
  <c r="G452" i="4" s="1"/>
  <c r="AC451" i="2"/>
  <c r="AD451" i="2" s="1"/>
  <c r="Z451" i="2"/>
  <c r="N451" i="4" s="1"/>
  <c r="W451" i="2"/>
  <c r="M451" i="4" s="1"/>
  <c r="K451" i="2"/>
  <c r="G451" i="4" s="1"/>
  <c r="AC450" i="2"/>
  <c r="AD450" i="2" s="1"/>
  <c r="Z450" i="2"/>
  <c r="N450" i="4" s="1"/>
  <c r="W450" i="2"/>
  <c r="M450" i="4" s="1"/>
  <c r="R450" i="2"/>
  <c r="K450" i="4" s="1"/>
  <c r="K450" i="2"/>
  <c r="G450" i="4" s="1"/>
  <c r="AC449" i="2"/>
  <c r="Z449" i="2"/>
  <c r="N449" i="4" s="1"/>
  <c r="W449" i="2"/>
  <c r="M449" i="4" s="1"/>
  <c r="R449" i="2"/>
  <c r="K449" i="4" s="1"/>
  <c r="K449" i="2"/>
  <c r="G449" i="4" s="1"/>
  <c r="AC448" i="2"/>
  <c r="AD448" i="2" s="1"/>
  <c r="Z448" i="2"/>
  <c r="N448" i="4" s="1"/>
  <c r="W448" i="2"/>
  <c r="M448" i="4" s="1"/>
  <c r="R448" i="2"/>
  <c r="K448" i="4" s="1"/>
  <c r="K448" i="2"/>
  <c r="G448" i="4" s="1"/>
  <c r="AC447" i="2"/>
  <c r="AD447" i="2" s="1"/>
  <c r="Z447" i="2"/>
  <c r="N447" i="4" s="1"/>
  <c r="W447" i="2"/>
  <c r="M447" i="4" s="1"/>
  <c r="R447" i="2"/>
  <c r="K447" i="4" s="1"/>
  <c r="K447" i="2"/>
  <c r="G447" i="4" s="1"/>
  <c r="AC446" i="2"/>
  <c r="AD446" i="2" s="1"/>
  <c r="Z446" i="2"/>
  <c r="N446" i="4" s="1"/>
  <c r="W446" i="2"/>
  <c r="M446" i="4" s="1"/>
  <c r="R446" i="2"/>
  <c r="K446" i="4" s="1"/>
  <c r="K446" i="2"/>
  <c r="G446" i="4" s="1"/>
  <c r="AC445" i="2"/>
  <c r="AD445" i="2" s="1"/>
  <c r="Z445" i="2"/>
  <c r="N445" i="4" s="1"/>
  <c r="W445" i="2"/>
  <c r="M445" i="4" s="1"/>
  <c r="R445" i="2"/>
  <c r="K445" i="4" s="1"/>
  <c r="K445" i="2"/>
  <c r="G445" i="4" s="1"/>
  <c r="AC444" i="2"/>
  <c r="AD444" i="2" s="1"/>
  <c r="Z444" i="2"/>
  <c r="N444" i="4" s="1"/>
  <c r="W444" i="2"/>
  <c r="M444" i="4" s="1"/>
  <c r="R444" i="2"/>
  <c r="K444" i="4" s="1"/>
  <c r="K444" i="2"/>
  <c r="G444" i="4" s="1"/>
  <c r="AC443" i="2"/>
  <c r="AD443" i="2" s="1"/>
  <c r="Z443" i="2"/>
  <c r="N443" i="4" s="1"/>
  <c r="W443" i="2"/>
  <c r="M443" i="4" s="1"/>
  <c r="K443" i="2"/>
  <c r="G443" i="4" s="1"/>
  <c r="AC442" i="2"/>
  <c r="AD442" i="2" s="1"/>
  <c r="Z442" i="2"/>
  <c r="N442" i="4" s="1"/>
  <c r="W442" i="2"/>
  <c r="M442" i="4" s="1"/>
  <c r="R442" i="2"/>
  <c r="K442" i="4" s="1"/>
  <c r="K442" i="2"/>
  <c r="G442" i="4" s="1"/>
  <c r="AC441" i="2"/>
  <c r="Z441" i="2"/>
  <c r="N441" i="4" s="1"/>
  <c r="W441" i="2"/>
  <c r="M441" i="4" s="1"/>
  <c r="R441" i="2"/>
  <c r="K441" i="4" s="1"/>
  <c r="K441" i="2"/>
  <c r="G441" i="4" s="1"/>
  <c r="AC440" i="2"/>
  <c r="AD440" i="2" s="1"/>
  <c r="Z440" i="2"/>
  <c r="N440" i="4" s="1"/>
  <c r="W440" i="2"/>
  <c r="M440" i="4" s="1"/>
  <c r="K440" i="2"/>
  <c r="G440" i="4" s="1"/>
  <c r="AC439" i="2"/>
  <c r="AD439" i="2" s="1"/>
  <c r="Z439" i="2"/>
  <c r="N439" i="4" s="1"/>
  <c r="W439" i="2"/>
  <c r="M439" i="4" s="1"/>
  <c r="K439" i="2"/>
  <c r="G439" i="4" s="1"/>
  <c r="AC438" i="2"/>
  <c r="AD438" i="2" s="1"/>
  <c r="Z438" i="2"/>
  <c r="N438" i="4" s="1"/>
  <c r="W438" i="2"/>
  <c r="M438" i="4" s="1"/>
  <c r="R438" i="2"/>
  <c r="K438" i="4" s="1"/>
  <c r="K438" i="2"/>
  <c r="G438" i="4" s="1"/>
  <c r="AC437" i="2"/>
  <c r="AD437" i="2" s="1"/>
  <c r="Z437" i="2"/>
  <c r="N437" i="4" s="1"/>
  <c r="W437" i="2"/>
  <c r="M437" i="4" s="1"/>
  <c r="R437" i="2"/>
  <c r="K437" i="4" s="1"/>
  <c r="K437" i="2"/>
  <c r="G437" i="4" s="1"/>
  <c r="AC436" i="2"/>
  <c r="AD436" i="2" s="1"/>
  <c r="Z436" i="2"/>
  <c r="N436" i="4" s="1"/>
  <c r="W436" i="2"/>
  <c r="M436" i="4" s="1"/>
  <c r="R436" i="2"/>
  <c r="K436" i="4" s="1"/>
  <c r="K436" i="2"/>
  <c r="G436" i="4" s="1"/>
  <c r="AC435" i="2"/>
  <c r="AD435" i="2" s="1"/>
  <c r="Z435" i="2"/>
  <c r="N435" i="4" s="1"/>
  <c r="W435" i="2"/>
  <c r="M435" i="4" s="1"/>
  <c r="R435" i="2"/>
  <c r="K435" i="4" s="1"/>
  <c r="K435" i="2"/>
  <c r="G435" i="4" s="1"/>
  <c r="AC434" i="2"/>
  <c r="AD434" i="2" s="1"/>
  <c r="Z434" i="2"/>
  <c r="N434" i="4" s="1"/>
  <c r="W434" i="2"/>
  <c r="M434" i="4" s="1"/>
  <c r="R434" i="2"/>
  <c r="K434" i="4" s="1"/>
  <c r="K434" i="2"/>
  <c r="G434" i="4" s="1"/>
  <c r="AC433" i="2"/>
  <c r="Z433" i="2"/>
  <c r="N433" i="4" s="1"/>
  <c r="W433" i="2"/>
  <c r="M433" i="4" s="1"/>
  <c r="R433" i="2"/>
  <c r="K433" i="4" s="1"/>
  <c r="K433" i="2"/>
  <c r="G433" i="4" s="1"/>
  <c r="AC432" i="2"/>
  <c r="AD432" i="2" s="1"/>
  <c r="Z432" i="2"/>
  <c r="N432" i="4" s="1"/>
  <c r="W432" i="2"/>
  <c r="M432" i="4" s="1"/>
  <c r="R432" i="2"/>
  <c r="K432" i="4" s="1"/>
  <c r="K432" i="2"/>
  <c r="G432" i="4" s="1"/>
  <c r="AC431" i="2"/>
  <c r="AD431" i="2" s="1"/>
  <c r="Z431" i="2"/>
  <c r="N431" i="4" s="1"/>
  <c r="W431" i="2"/>
  <c r="M431" i="4" s="1"/>
  <c r="R431" i="2"/>
  <c r="K431" i="4" s="1"/>
  <c r="K431" i="2"/>
  <c r="G431" i="4" s="1"/>
  <c r="AC430" i="2"/>
  <c r="AD430" i="2" s="1"/>
  <c r="Z430" i="2"/>
  <c r="N430" i="4" s="1"/>
  <c r="W430" i="2"/>
  <c r="M430" i="4" s="1"/>
  <c r="R430" i="2"/>
  <c r="K430" i="4" s="1"/>
  <c r="K430" i="2"/>
  <c r="G430" i="4" s="1"/>
  <c r="AC429" i="2"/>
  <c r="AD429" i="2" s="1"/>
  <c r="Z429" i="2"/>
  <c r="N429" i="4" s="1"/>
  <c r="W429" i="2"/>
  <c r="M429" i="4" s="1"/>
  <c r="R429" i="2"/>
  <c r="K429" i="4" s="1"/>
  <c r="K429" i="2"/>
  <c r="G429" i="4" s="1"/>
  <c r="AC428" i="2"/>
  <c r="AD428" i="2" s="1"/>
  <c r="Z428" i="2"/>
  <c r="N428" i="4" s="1"/>
  <c r="W428" i="2"/>
  <c r="M428" i="4" s="1"/>
  <c r="K428" i="2"/>
  <c r="G428" i="4" s="1"/>
  <c r="AC427" i="2"/>
  <c r="AD427" i="2" s="1"/>
  <c r="Z427" i="2"/>
  <c r="N427" i="4" s="1"/>
  <c r="W427" i="2"/>
  <c r="M427" i="4" s="1"/>
  <c r="R427" i="2"/>
  <c r="K427" i="4" s="1"/>
  <c r="K427" i="2"/>
  <c r="G427" i="4" s="1"/>
  <c r="AC426" i="2"/>
  <c r="AD426" i="2" s="1"/>
  <c r="Z426" i="2"/>
  <c r="N426" i="4" s="1"/>
  <c r="W426" i="2"/>
  <c r="M426" i="4" s="1"/>
  <c r="R426" i="2"/>
  <c r="K426" i="4" s="1"/>
  <c r="K426" i="2"/>
  <c r="G426" i="4" s="1"/>
  <c r="AC425" i="2"/>
  <c r="Z425" i="2"/>
  <c r="N425" i="4" s="1"/>
  <c r="W425" i="2"/>
  <c r="M425" i="4" s="1"/>
  <c r="R425" i="2"/>
  <c r="K425" i="4" s="1"/>
  <c r="K425" i="2"/>
  <c r="G425" i="4" s="1"/>
  <c r="AC424" i="2"/>
  <c r="AD424" i="2" s="1"/>
  <c r="Z424" i="2"/>
  <c r="N424" i="4" s="1"/>
  <c r="W424" i="2"/>
  <c r="M424" i="4" s="1"/>
  <c r="R424" i="2"/>
  <c r="K424" i="4" s="1"/>
  <c r="K424" i="2"/>
  <c r="G424" i="4" s="1"/>
  <c r="AC423" i="2"/>
  <c r="AD423" i="2" s="1"/>
  <c r="Z423" i="2"/>
  <c r="N423" i="4" s="1"/>
  <c r="W423" i="2"/>
  <c r="M423" i="4" s="1"/>
  <c r="K423" i="2"/>
  <c r="G423" i="4" s="1"/>
  <c r="AC422" i="2"/>
  <c r="AD422" i="2" s="1"/>
  <c r="Z422" i="2"/>
  <c r="N422" i="4" s="1"/>
  <c r="W422" i="2"/>
  <c r="M422" i="4" s="1"/>
  <c r="R422" i="2"/>
  <c r="K422" i="4" s="1"/>
  <c r="K422" i="2"/>
  <c r="G422" i="4" s="1"/>
  <c r="AC421" i="2"/>
  <c r="AD421" i="2" s="1"/>
  <c r="Z421" i="2"/>
  <c r="N421" i="4" s="1"/>
  <c r="W421" i="2"/>
  <c r="M421" i="4" s="1"/>
  <c r="R421" i="2"/>
  <c r="K421" i="4" s="1"/>
  <c r="K421" i="2"/>
  <c r="G421" i="4" s="1"/>
  <c r="AC420" i="2"/>
  <c r="AD420" i="2" s="1"/>
  <c r="Z420" i="2"/>
  <c r="N420" i="4" s="1"/>
  <c r="W420" i="2"/>
  <c r="M420" i="4" s="1"/>
  <c r="K420" i="2"/>
  <c r="G420" i="4" s="1"/>
  <c r="AC419" i="2"/>
  <c r="AD419" i="2" s="1"/>
  <c r="Z419" i="2"/>
  <c r="N419" i="4" s="1"/>
  <c r="W419" i="2"/>
  <c r="M419" i="4" s="1"/>
  <c r="R419" i="2"/>
  <c r="K419" i="4" s="1"/>
  <c r="K419" i="2"/>
  <c r="G419" i="4" s="1"/>
  <c r="AC418" i="2"/>
  <c r="AD418" i="2" s="1"/>
  <c r="Z418" i="2"/>
  <c r="N418" i="4" s="1"/>
  <c r="W418" i="2"/>
  <c r="M418" i="4" s="1"/>
  <c r="R418" i="2"/>
  <c r="K418" i="4" s="1"/>
  <c r="K418" i="2"/>
  <c r="G418" i="4" s="1"/>
  <c r="AC417" i="2"/>
  <c r="Z417" i="2"/>
  <c r="N417" i="4" s="1"/>
  <c r="W417" i="2"/>
  <c r="M417" i="4" s="1"/>
  <c r="R417" i="2"/>
  <c r="K417" i="4" s="1"/>
  <c r="K417" i="2"/>
  <c r="G417" i="4" s="1"/>
  <c r="AC416" i="2"/>
  <c r="AD416" i="2" s="1"/>
  <c r="Z416" i="2"/>
  <c r="N416" i="4" s="1"/>
  <c r="W416" i="2"/>
  <c r="M416" i="4" s="1"/>
  <c r="R416" i="2"/>
  <c r="K416" i="4" s="1"/>
  <c r="K416" i="2"/>
  <c r="G416" i="4" s="1"/>
  <c r="AC415" i="2"/>
  <c r="AD415" i="2" s="1"/>
  <c r="Z415" i="2"/>
  <c r="N415" i="4" s="1"/>
  <c r="W415" i="2"/>
  <c r="M415" i="4" s="1"/>
  <c r="R415" i="2"/>
  <c r="K415" i="4" s="1"/>
  <c r="K415" i="2"/>
  <c r="G415" i="4" s="1"/>
  <c r="AC414" i="2"/>
  <c r="AD414" i="2" s="1"/>
  <c r="Z414" i="2"/>
  <c r="N414" i="4" s="1"/>
  <c r="W414" i="2"/>
  <c r="M414" i="4" s="1"/>
  <c r="R414" i="2"/>
  <c r="R396" i="2" s="1"/>
  <c r="K396" i="4" s="1"/>
  <c r="K414" i="2"/>
  <c r="G414" i="4" s="1"/>
  <c r="AC413" i="2"/>
  <c r="AD413" i="2" s="1"/>
  <c r="Z413" i="2"/>
  <c r="N413" i="4" s="1"/>
  <c r="W413" i="2"/>
  <c r="M413" i="4" s="1"/>
  <c r="R413" i="2"/>
  <c r="K413" i="4" s="1"/>
  <c r="K413" i="2"/>
  <c r="G413" i="4" s="1"/>
  <c r="AC412" i="2"/>
  <c r="AD412" i="2" s="1"/>
  <c r="Z412" i="2"/>
  <c r="N412" i="4" s="1"/>
  <c r="W412" i="2"/>
  <c r="M412" i="4" s="1"/>
  <c r="R412" i="2"/>
  <c r="K412" i="4" s="1"/>
  <c r="K412" i="2"/>
  <c r="G412" i="4" s="1"/>
  <c r="AC411" i="2"/>
  <c r="AD411" i="2" s="1"/>
  <c r="Z411" i="2"/>
  <c r="N411" i="4" s="1"/>
  <c r="W411" i="2"/>
  <c r="M411" i="4" s="1"/>
  <c r="K411" i="2"/>
  <c r="G411" i="4" s="1"/>
  <c r="AC410" i="2"/>
  <c r="AD410" i="2" s="1"/>
  <c r="Z410" i="2"/>
  <c r="N410" i="4" s="1"/>
  <c r="W410" i="2"/>
  <c r="M410" i="4" s="1"/>
  <c r="R410" i="2"/>
  <c r="K410" i="4" s="1"/>
  <c r="K410" i="2"/>
  <c r="G410" i="4" s="1"/>
  <c r="AC409" i="2"/>
  <c r="AD409" i="2" s="1"/>
  <c r="Z409" i="2"/>
  <c r="N409" i="4" s="1"/>
  <c r="W409" i="2"/>
  <c r="M409" i="4" s="1"/>
  <c r="R409" i="2"/>
  <c r="K409" i="4" s="1"/>
  <c r="K409" i="2"/>
  <c r="G409" i="4" s="1"/>
  <c r="AC408" i="2"/>
  <c r="AD408" i="2" s="1"/>
  <c r="Z408" i="2"/>
  <c r="N408" i="4" s="1"/>
  <c r="W408" i="2"/>
  <c r="M408" i="4" s="1"/>
  <c r="R408" i="2"/>
  <c r="K408" i="4" s="1"/>
  <c r="K408" i="2"/>
  <c r="G408" i="4" s="1"/>
  <c r="AC407" i="2"/>
  <c r="AD407" i="2" s="1"/>
  <c r="Z407" i="2"/>
  <c r="N407" i="4" s="1"/>
  <c r="W407" i="2"/>
  <c r="M407" i="4" s="1"/>
  <c r="K407" i="2"/>
  <c r="G407" i="4" s="1"/>
  <c r="AC406" i="2"/>
  <c r="AD406" i="2" s="1"/>
  <c r="Z406" i="2"/>
  <c r="N406" i="4" s="1"/>
  <c r="W406" i="2"/>
  <c r="M406" i="4" s="1"/>
  <c r="R406" i="2"/>
  <c r="K406" i="4" s="1"/>
  <c r="K406" i="2"/>
  <c r="G406" i="4" s="1"/>
  <c r="AC405" i="2"/>
  <c r="AD405" i="2" s="1"/>
  <c r="Z405" i="2"/>
  <c r="N405" i="4" s="1"/>
  <c r="W405" i="2"/>
  <c r="M405" i="4" s="1"/>
  <c r="R405" i="2"/>
  <c r="R387" i="2" s="1"/>
  <c r="K387" i="4" s="1"/>
  <c r="K405" i="2"/>
  <c r="G405" i="4" s="1"/>
  <c r="AC404" i="2"/>
  <c r="AD404" i="2" s="1"/>
  <c r="Z404" i="2"/>
  <c r="N404" i="4" s="1"/>
  <c r="W404" i="2"/>
  <c r="M404" i="4" s="1"/>
  <c r="K404" i="2"/>
  <c r="G404" i="4" s="1"/>
  <c r="AC403" i="2"/>
  <c r="AD403" i="2" s="1"/>
  <c r="Z403" i="2"/>
  <c r="N403" i="4" s="1"/>
  <c r="W403" i="2"/>
  <c r="M403" i="4" s="1"/>
  <c r="R403" i="2"/>
  <c r="K403" i="4" s="1"/>
  <c r="K403" i="2"/>
  <c r="G403" i="4" s="1"/>
  <c r="AC402" i="2"/>
  <c r="AD402" i="2" s="1"/>
  <c r="Z402" i="2"/>
  <c r="N402" i="4" s="1"/>
  <c r="W402" i="2"/>
  <c r="M402" i="4" s="1"/>
  <c r="R402" i="2"/>
  <c r="K402" i="4" s="1"/>
  <c r="K402" i="2"/>
  <c r="G402" i="4" s="1"/>
  <c r="AC401" i="2"/>
  <c r="Z401" i="2"/>
  <c r="N401" i="4" s="1"/>
  <c r="W401" i="2"/>
  <c r="M401" i="4" s="1"/>
  <c r="R401" i="2"/>
  <c r="K401" i="4" s="1"/>
  <c r="K401" i="2"/>
  <c r="G401" i="4" s="1"/>
  <c r="AC400" i="2"/>
  <c r="AD400" i="2" s="1"/>
  <c r="Z400" i="2"/>
  <c r="N400" i="4" s="1"/>
  <c r="W400" i="2"/>
  <c r="M400" i="4" s="1"/>
  <c r="R400" i="2"/>
  <c r="K400" i="4" s="1"/>
  <c r="K400" i="2"/>
  <c r="G400" i="4" s="1"/>
  <c r="AC399" i="2"/>
  <c r="AD399" i="2" s="1"/>
  <c r="Z399" i="2"/>
  <c r="N399" i="4" s="1"/>
  <c r="W399" i="2"/>
  <c r="M399" i="4" s="1"/>
  <c r="R399" i="2"/>
  <c r="K399" i="4" s="1"/>
  <c r="K399" i="2"/>
  <c r="G399" i="4" s="1"/>
  <c r="AC398" i="2"/>
  <c r="AD398" i="2" s="1"/>
  <c r="Z398" i="2"/>
  <c r="N398" i="4" s="1"/>
  <c r="W398" i="2"/>
  <c r="M398" i="4" s="1"/>
  <c r="R398" i="2"/>
  <c r="K398" i="4" s="1"/>
  <c r="K398" i="2"/>
  <c r="G398" i="4" s="1"/>
  <c r="AC397" i="2"/>
  <c r="AD397" i="2" s="1"/>
  <c r="Z397" i="2"/>
  <c r="N397" i="4" s="1"/>
  <c r="W397" i="2"/>
  <c r="M397" i="4" s="1"/>
  <c r="R397" i="2"/>
  <c r="K397" i="4" s="1"/>
  <c r="K397" i="2"/>
  <c r="G397" i="4" s="1"/>
  <c r="AC396" i="2"/>
  <c r="AD396" i="2" s="1"/>
  <c r="Z396" i="2"/>
  <c r="N396" i="4" s="1"/>
  <c r="W396" i="2"/>
  <c r="M396" i="4" s="1"/>
  <c r="K396" i="2"/>
  <c r="G396" i="4" s="1"/>
  <c r="AC395" i="2"/>
  <c r="AD395" i="2" s="1"/>
  <c r="Z395" i="2"/>
  <c r="N395" i="4" s="1"/>
  <c r="W395" i="2"/>
  <c r="M395" i="4" s="1"/>
  <c r="R395" i="2"/>
  <c r="K395" i="4" s="1"/>
  <c r="K395" i="2"/>
  <c r="G395" i="4" s="1"/>
  <c r="AC394" i="2"/>
  <c r="AD394" i="2" s="1"/>
  <c r="Z394" i="2"/>
  <c r="N394" i="4" s="1"/>
  <c r="W394" i="2"/>
  <c r="M394" i="4" s="1"/>
  <c r="R394" i="2"/>
  <c r="K394" i="4" s="1"/>
  <c r="K394" i="2"/>
  <c r="G394" i="4" s="1"/>
  <c r="AC393" i="2"/>
  <c r="Z393" i="2"/>
  <c r="N393" i="4" s="1"/>
  <c r="W393" i="2"/>
  <c r="M393" i="4" s="1"/>
  <c r="K393" i="2"/>
  <c r="G393" i="4" s="1"/>
  <c r="AC392" i="2"/>
  <c r="AD392" i="2" s="1"/>
  <c r="Z392" i="2"/>
  <c r="N392" i="4" s="1"/>
  <c r="W392" i="2"/>
  <c r="M392" i="4" s="1"/>
  <c r="R392" i="2"/>
  <c r="K392" i="4" s="1"/>
  <c r="K392" i="2"/>
  <c r="G392" i="4" s="1"/>
  <c r="AC391" i="2"/>
  <c r="AD391" i="2" s="1"/>
  <c r="Z391" i="2"/>
  <c r="N391" i="4" s="1"/>
  <c r="W391" i="2"/>
  <c r="M391" i="4" s="1"/>
  <c r="K391" i="2"/>
  <c r="G391" i="4" s="1"/>
  <c r="AC390" i="2"/>
  <c r="AD390" i="2" s="1"/>
  <c r="Z390" i="2"/>
  <c r="N390" i="4" s="1"/>
  <c r="W390" i="2"/>
  <c r="M390" i="4" s="1"/>
  <c r="K390" i="2"/>
  <c r="G390" i="4" s="1"/>
  <c r="AC389" i="2"/>
  <c r="AD389" i="2" s="1"/>
  <c r="Z389" i="2"/>
  <c r="N389" i="4" s="1"/>
  <c r="W389" i="2"/>
  <c r="M389" i="4" s="1"/>
  <c r="R389" i="2"/>
  <c r="K389" i="4" s="1"/>
  <c r="K389" i="2"/>
  <c r="G389" i="4" s="1"/>
  <c r="AC388" i="2"/>
  <c r="AD388" i="2" s="1"/>
  <c r="Z388" i="2"/>
  <c r="N388" i="4" s="1"/>
  <c r="W388" i="2"/>
  <c r="M388" i="4" s="1"/>
  <c r="R388" i="2"/>
  <c r="K388" i="4" s="1"/>
  <c r="K388" i="2"/>
  <c r="G388" i="4" s="1"/>
  <c r="AC387" i="2"/>
  <c r="AD387" i="2" s="1"/>
  <c r="Z387" i="2"/>
  <c r="N387" i="4" s="1"/>
  <c r="W387" i="2"/>
  <c r="M387" i="4" s="1"/>
  <c r="K387" i="2"/>
  <c r="G387" i="4" s="1"/>
  <c r="AC386" i="2"/>
  <c r="AD386" i="2" s="1"/>
  <c r="Z386" i="2"/>
  <c r="N386" i="4" s="1"/>
  <c r="W386" i="2"/>
  <c r="M386" i="4" s="1"/>
  <c r="R386" i="2"/>
  <c r="K386" i="4" s="1"/>
  <c r="K386" i="2"/>
  <c r="G386" i="4" s="1"/>
  <c r="AC385" i="2"/>
  <c r="Z385" i="2"/>
  <c r="N385" i="4" s="1"/>
  <c r="W385" i="2"/>
  <c r="M385" i="4" s="1"/>
  <c r="R385" i="2"/>
  <c r="K385" i="4" s="1"/>
  <c r="K385" i="2"/>
  <c r="G385" i="4" s="1"/>
  <c r="AC384" i="2"/>
  <c r="AD384" i="2" s="1"/>
  <c r="Z384" i="2"/>
  <c r="N384" i="4" s="1"/>
  <c r="W384" i="2"/>
  <c r="M384" i="4" s="1"/>
  <c r="K384" i="2"/>
  <c r="G384" i="4" s="1"/>
  <c r="AC383" i="2"/>
  <c r="AD383" i="2" s="1"/>
  <c r="Z383" i="2"/>
  <c r="N383" i="4" s="1"/>
  <c r="W383" i="2"/>
  <c r="M383" i="4" s="1"/>
  <c r="R383" i="2"/>
  <c r="K383" i="4" s="1"/>
  <c r="K383" i="2"/>
  <c r="G383" i="4" s="1"/>
  <c r="AC382" i="2"/>
  <c r="AD382" i="2" s="1"/>
  <c r="Z382" i="2"/>
  <c r="N382" i="4" s="1"/>
  <c r="W382" i="2"/>
  <c r="M382" i="4" s="1"/>
  <c r="R382" i="2"/>
  <c r="K382" i="4" s="1"/>
  <c r="K382" i="2"/>
  <c r="G382" i="4" s="1"/>
  <c r="AC381" i="2"/>
  <c r="AD381" i="2" s="1"/>
  <c r="Z381" i="2"/>
  <c r="N381" i="4" s="1"/>
  <c r="W381" i="2"/>
  <c r="M381" i="4" s="1"/>
  <c r="R381" i="2"/>
  <c r="K381" i="4" s="1"/>
  <c r="K381" i="2"/>
  <c r="G381" i="4" s="1"/>
  <c r="AC380" i="2"/>
  <c r="AD380" i="2" s="1"/>
  <c r="Z380" i="2"/>
  <c r="N380" i="4" s="1"/>
  <c r="W380" i="2"/>
  <c r="M380" i="4" s="1"/>
  <c r="R380" i="2"/>
  <c r="K380" i="4" s="1"/>
  <c r="K380" i="2"/>
  <c r="G380" i="4" s="1"/>
  <c r="AC379" i="2"/>
  <c r="AD379" i="2" s="1"/>
  <c r="Z379" i="2"/>
  <c r="N379" i="4" s="1"/>
  <c r="W379" i="2"/>
  <c r="M379" i="4" s="1"/>
  <c r="R379" i="2"/>
  <c r="K379" i="4" s="1"/>
  <c r="K379" i="2"/>
  <c r="G379" i="4" s="1"/>
  <c r="AC378" i="2"/>
  <c r="AD378" i="2" s="1"/>
  <c r="Z378" i="2"/>
  <c r="N378" i="4" s="1"/>
  <c r="W378" i="2"/>
  <c r="M378" i="4" s="1"/>
  <c r="K378" i="2"/>
  <c r="G378" i="4" s="1"/>
  <c r="AC377" i="2"/>
  <c r="Z377" i="2"/>
  <c r="N377" i="4" s="1"/>
  <c r="W377" i="2"/>
  <c r="M377" i="4" s="1"/>
  <c r="R377" i="2"/>
  <c r="K377" i="4" s="1"/>
  <c r="K377" i="2"/>
  <c r="G377" i="4" s="1"/>
  <c r="AC376" i="2"/>
  <c r="AD376" i="2" s="1"/>
  <c r="Z376" i="2"/>
  <c r="N376" i="4" s="1"/>
  <c r="W376" i="2"/>
  <c r="M376" i="4" s="1"/>
  <c r="R376" i="2"/>
  <c r="K376" i="4" s="1"/>
  <c r="K376" i="2"/>
  <c r="G376" i="4" s="1"/>
  <c r="AC375" i="2"/>
  <c r="AD375" i="2" s="1"/>
  <c r="Z375" i="2"/>
  <c r="N375" i="4" s="1"/>
  <c r="W375" i="2"/>
  <c r="M375" i="4" s="1"/>
  <c r="K375" i="2"/>
  <c r="G375" i="4" s="1"/>
  <c r="AC374" i="2"/>
  <c r="AD374" i="2" s="1"/>
  <c r="Z374" i="2"/>
  <c r="N374" i="4" s="1"/>
  <c r="W374" i="2"/>
  <c r="M374" i="4" s="1"/>
  <c r="R374" i="2"/>
  <c r="K374" i="4" s="1"/>
  <c r="K374" i="2"/>
  <c r="G374" i="4" s="1"/>
  <c r="AC373" i="2"/>
  <c r="AD373" i="2" s="1"/>
  <c r="Z373" i="2"/>
  <c r="N373" i="4" s="1"/>
  <c r="W373" i="2"/>
  <c r="M373" i="4" s="1"/>
  <c r="R373" i="2"/>
  <c r="K373" i="4" s="1"/>
  <c r="K373" i="2"/>
  <c r="G373" i="4" s="1"/>
  <c r="AC372" i="2"/>
  <c r="AD372" i="2" s="1"/>
  <c r="Z372" i="2"/>
  <c r="N372" i="4" s="1"/>
  <c r="W372" i="2"/>
  <c r="M372" i="4" s="1"/>
  <c r="R372" i="2"/>
  <c r="K372" i="4" s="1"/>
  <c r="K372" i="2"/>
  <c r="G372" i="4" s="1"/>
  <c r="AC371" i="2"/>
  <c r="AD371" i="2" s="1"/>
  <c r="Z371" i="2"/>
  <c r="N371" i="4" s="1"/>
  <c r="W371" i="2"/>
  <c r="M371" i="4" s="1"/>
  <c r="R371" i="2"/>
  <c r="K371" i="4" s="1"/>
  <c r="K371" i="2"/>
  <c r="G371" i="4" s="1"/>
  <c r="AC370" i="2"/>
  <c r="AD370" i="2" s="1"/>
  <c r="Z370" i="2"/>
  <c r="N370" i="4" s="1"/>
  <c r="W370" i="2"/>
  <c r="M370" i="4" s="1"/>
  <c r="R370" i="2"/>
  <c r="K370" i="4" s="1"/>
  <c r="K370" i="2"/>
  <c r="G370" i="4" s="1"/>
  <c r="AC369" i="2"/>
  <c r="Z369" i="2"/>
  <c r="N369" i="4" s="1"/>
  <c r="W369" i="2"/>
  <c r="M369" i="4" s="1"/>
  <c r="R369" i="2"/>
  <c r="K369" i="4" s="1"/>
  <c r="K369" i="2"/>
  <c r="G369" i="4" s="1"/>
  <c r="AC368" i="2"/>
  <c r="AD368" i="2" s="1"/>
  <c r="Z368" i="2"/>
  <c r="N368" i="4" s="1"/>
  <c r="W368" i="2"/>
  <c r="M368" i="4" s="1"/>
  <c r="K368" i="2"/>
  <c r="G368" i="4" s="1"/>
  <c r="AC367" i="2"/>
  <c r="AD367" i="2" s="1"/>
  <c r="Z367" i="2"/>
  <c r="N367" i="4" s="1"/>
  <c r="W367" i="2"/>
  <c r="M367" i="4" s="1"/>
  <c r="R367" i="2"/>
  <c r="K367" i="4" s="1"/>
  <c r="K367" i="2"/>
  <c r="G367" i="4" s="1"/>
  <c r="AC366" i="2"/>
  <c r="AD366" i="2" s="1"/>
  <c r="Z366" i="2"/>
  <c r="N366" i="4" s="1"/>
  <c r="W366" i="2"/>
  <c r="M366" i="4" s="1"/>
  <c r="K366" i="2"/>
  <c r="G366" i="4" s="1"/>
  <c r="AC365" i="2"/>
  <c r="AD365" i="2" s="1"/>
  <c r="Z365" i="2"/>
  <c r="N365" i="4" s="1"/>
  <c r="W365" i="2"/>
  <c r="M365" i="4" s="1"/>
  <c r="R365" i="2"/>
  <c r="K365" i="4" s="1"/>
  <c r="K365" i="2"/>
  <c r="G365" i="4" s="1"/>
  <c r="AC364" i="2"/>
  <c r="AD364" i="2" s="1"/>
  <c r="Z364" i="2"/>
  <c r="N364" i="4" s="1"/>
  <c r="W364" i="2"/>
  <c r="M364" i="4" s="1"/>
  <c r="R364" i="2"/>
  <c r="K364" i="4" s="1"/>
  <c r="K364" i="2"/>
  <c r="G364" i="4" s="1"/>
  <c r="AC363" i="2"/>
  <c r="AD363" i="2" s="1"/>
  <c r="Z363" i="2"/>
  <c r="N363" i="4" s="1"/>
  <c r="W363" i="2"/>
  <c r="M363" i="4" s="1"/>
  <c r="R363" i="2"/>
  <c r="K363" i="4" s="1"/>
  <c r="K363" i="2"/>
  <c r="G363" i="4" s="1"/>
  <c r="AC362" i="2"/>
  <c r="AD362" i="2" s="1"/>
  <c r="Z362" i="2"/>
  <c r="N362" i="4" s="1"/>
  <c r="W362" i="2"/>
  <c r="M362" i="4" s="1"/>
  <c r="R362" i="2"/>
  <c r="K362" i="4" s="1"/>
  <c r="K362" i="2"/>
  <c r="G362" i="4" s="1"/>
  <c r="AC361" i="2"/>
  <c r="Z361" i="2"/>
  <c r="N361" i="4" s="1"/>
  <c r="W361" i="2"/>
  <c r="M361" i="4" s="1"/>
  <c r="R361" i="2"/>
  <c r="K361" i="4" s="1"/>
  <c r="K361" i="2"/>
  <c r="G361" i="4" s="1"/>
  <c r="AC360" i="2"/>
  <c r="AD360" i="2" s="1"/>
  <c r="Z360" i="2"/>
  <c r="N360" i="4" s="1"/>
  <c r="W360" i="2"/>
  <c r="M360" i="4" s="1"/>
  <c r="K360" i="2"/>
  <c r="G360" i="4" s="1"/>
  <c r="AC359" i="2"/>
  <c r="AD359" i="2" s="1"/>
  <c r="Z359" i="2"/>
  <c r="N359" i="4" s="1"/>
  <c r="W359" i="2"/>
  <c r="M359" i="4" s="1"/>
  <c r="R359" i="2"/>
  <c r="K359" i="4" s="1"/>
  <c r="K359" i="2"/>
  <c r="G359" i="4" s="1"/>
  <c r="AC358" i="2"/>
  <c r="AD358" i="2" s="1"/>
  <c r="Z358" i="2"/>
  <c r="N358" i="4" s="1"/>
  <c r="W358" i="2"/>
  <c r="M358" i="4" s="1"/>
  <c r="R358" i="2"/>
  <c r="K358" i="4" s="1"/>
  <c r="K358" i="2"/>
  <c r="G358" i="4" s="1"/>
  <c r="AC357" i="2"/>
  <c r="AD357" i="2" s="1"/>
  <c r="Z357" i="2"/>
  <c r="N357" i="4" s="1"/>
  <c r="W357" i="2"/>
  <c r="M357" i="4" s="1"/>
  <c r="R357" i="2"/>
  <c r="K357" i="4" s="1"/>
  <c r="K357" i="2"/>
  <c r="G357" i="4" s="1"/>
  <c r="AC356" i="2"/>
  <c r="AD356" i="2" s="1"/>
  <c r="Z356" i="2"/>
  <c r="N356" i="4" s="1"/>
  <c r="W356" i="2"/>
  <c r="M356" i="4" s="1"/>
  <c r="R356" i="2"/>
  <c r="K356" i="4" s="1"/>
  <c r="K356" i="2"/>
  <c r="G356" i="4" s="1"/>
  <c r="AC355" i="2"/>
  <c r="AD355" i="2" s="1"/>
  <c r="Z355" i="2"/>
  <c r="N355" i="4" s="1"/>
  <c r="W355" i="2"/>
  <c r="M355" i="4" s="1"/>
  <c r="R355" i="2"/>
  <c r="K355" i="4" s="1"/>
  <c r="K355" i="2"/>
  <c r="G355" i="4" s="1"/>
  <c r="AC354" i="2"/>
  <c r="AD354" i="2" s="1"/>
  <c r="Z354" i="2"/>
  <c r="N354" i="4" s="1"/>
  <c r="W354" i="2"/>
  <c r="M354" i="4" s="1"/>
  <c r="R354" i="2"/>
  <c r="K354" i="4" s="1"/>
  <c r="K354" i="2"/>
  <c r="G354" i="4" s="1"/>
  <c r="AC353" i="2"/>
  <c r="Z353" i="2"/>
  <c r="N353" i="4" s="1"/>
  <c r="W353" i="2"/>
  <c r="M353" i="4" s="1"/>
  <c r="K353" i="2"/>
  <c r="G353" i="4" s="1"/>
  <c r="AC352" i="2"/>
  <c r="AD352" i="2" s="1"/>
  <c r="Z352" i="2"/>
  <c r="N352" i="4" s="1"/>
  <c r="W352" i="2"/>
  <c r="M352" i="4" s="1"/>
  <c r="K352" i="2"/>
  <c r="G352" i="4" s="1"/>
  <c r="AC351" i="2"/>
  <c r="AD351" i="2" s="1"/>
  <c r="Z351" i="2"/>
  <c r="N351" i="4" s="1"/>
  <c r="W351" i="2"/>
  <c r="M351" i="4" s="1"/>
  <c r="R351" i="2"/>
  <c r="K351" i="4" s="1"/>
  <c r="K351" i="2"/>
  <c r="G351" i="4" s="1"/>
  <c r="AC350" i="2"/>
  <c r="AD350" i="2" s="1"/>
  <c r="Z350" i="2"/>
  <c r="N350" i="4" s="1"/>
  <c r="W350" i="2"/>
  <c r="M350" i="4" s="1"/>
  <c r="R350" i="2"/>
  <c r="K350" i="4" s="1"/>
  <c r="K350" i="2"/>
  <c r="G350" i="4" s="1"/>
  <c r="AC349" i="2"/>
  <c r="AD349" i="2" s="1"/>
  <c r="Z349" i="2"/>
  <c r="N349" i="4" s="1"/>
  <c r="W349" i="2"/>
  <c r="M349" i="4" s="1"/>
  <c r="K349" i="2"/>
  <c r="G349" i="4" s="1"/>
  <c r="AC348" i="2"/>
  <c r="AD348" i="2" s="1"/>
  <c r="Z348" i="2"/>
  <c r="N348" i="4" s="1"/>
  <c r="W348" i="2"/>
  <c r="M348" i="4" s="1"/>
  <c r="R348" i="2"/>
  <c r="K348" i="4" s="1"/>
  <c r="K348" i="2"/>
  <c r="G348" i="4" s="1"/>
  <c r="AC347" i="2"/>
  <c r="AD347" i="2" s="1"/>
  <c r="Z347" i="2"/>
  <c r="N347" i="4" s="1"/>
  <c r="W347" i="2"/>
  <c r="M347" i="4" s="1"/>
  <c r="R347" i="2"/>
  <c r="K347" i="4" s="1"/>
  <c r="K347" i="2"/>
  <c r="G347" i="4" s="1"/>
  <c r="AC346" i="2"/>
  <c r="AD346" i="2" s="1"/>
  <c r="Z346" i="2"/>
  <c r="N346" i="4" s="1"/>
  <c r="W346" i="2"/>
  <c r="M346" i="4" s="1"/>
  <c r="R346" i="2"/>
  <c r="K346" i="4" s="1"/>
  <c r="K346" i="2"/>
  <c r="G346" i="4" s="1"/>
  <c r="AC345" i="2"/>
  <c r="AD345" i="2" s="1"/>
  <c r="Z345" i="2"/>
  <c r="N345" i="4" s="1"/>
  <c r="W345" i="2"/>
  <c r="M345" i="4" s="1"/>
  <c r="R345" i="2"/>
  <c r="K345" i="4" s="1"/>
  <c r="K345" i="2"/>
  <c r="G345" i="4" s="1"/>
  <c r="AC344" i="2"/>
  <c r="AD344" i="2" s="1"/>
  <c r="Z344" i="2"/>
  <c r="N344" i="4" s="1"/>
  <c r="W344" i="2"/>
  <c r="M344" i="4" s="1"/>
  <c r="K344" i="2"/>
  <c r="G344" i="4" s="1"/>
  <c r="AC343" i="2"/>
  <c r="AD343" i="2" s="1"/>
  <c r="Z343" i="2"/>
  <c r="N343" i="4" s="1"/>
  <c r="W343" i="2"/>
  <c r="M343" i="4" s="1"/>
  <c r="R343" i="2"/>
  <c r="K343" i="4" s="1"/>
  <c r="K343" i="2"/>
  <c r="G343" i="4" s="1"/>
  <c r="AC342" i="2"/>
  <c r="AD342" i="2" s="1"/>
  <c r="Z342" i="2"/>
  <c r="N342" i="4" s="1"/>
  <c r="W342" i="2"/>
  <c r="M342" i="4" s="1"/>
  <c r="K342" i="2"/>
  <c r="G342" i="4" s="1"/>
  <c r="AC341" i="2"/>
  <c r="AD341" i="2" s="1"/>
  <c r="Z341" i="2"/>
  <c r="N341" i="4" s="1"/>
  <c r="W341" i="2"/>
  <c r="M341" i="4" s="1"/>
  <c r="R341" i="2"/>
  <c r="K341" i="4" s="1"/>
  <c r="K341" i="2"/>
  <c r="G341" i="4" s="1"/>
  <c r="AC340" i="2"/>
  <c r="AD340" i="2" s="1"/>
  <c r="Z340" i="2"/>
  <c r="N340" i="4" s="1"/>
  <c r="W340" i="2"/>
  <c r="M340" i="4" s="1"/>
  <c r="R340" i="2"/>
  <c r="K340" i="4" s="1"/>
  <c r="K340" i="2"/>
  <c r="G340" i="4" s="1"/>
  <c r="AC339" i="2"/>
  <c r="AD339" i="2" s="1"/>
  <c r="Z339" i="2"/>
  <c r="N339" i="4" s="1"/>
  <c r="W339" i="2"/>
  <c r="M339" i="4" s="1"/>
  <c r="R339" i="2"/>
  <c r="K339" i="4" s="1"/>
  <c r="K339" i="2"/>
  <c r="G339" i="4" s="1"/>
  <c r="AC338" i="2"/>
  <c r="AD338" i="2" s="1"/>
  <c r="Z338" i="2"/>
  <c r="N338" i="4" s="1"/>
  <c r="W338" i="2"/>
  <c r="M338" i="4" s="1"/>
  <c r="R338" i="2"/>
  <c r="K338" i="4" s="1"/>
  <c r="K338" i="2"/>
  <c r="G338" i="4" s="1"/>
  <c r="AC337" i="2"/>
  <c r="Z337" i="2"/>
  <c r="N337" i="4" s="1"/>
  <c r="W337" i="2"/>
  <c r="M337" i="4" s="1"/>
  <c r="R337" i="2"/>
  <c r="K337" i="4" s="1"/>
  <c r="K337" i="2"/>
  <c r="G337" i="4" s="1"/>
  <c r="AC336" i="2"/>
  <c r="AD336" i="2" s="1"/>
  <c r="Z336" i="2"/>
  <c r="N336" i="4" s="1"/>
  <c r="W336" i="2"/>
  <c r="M336" i="4" s="1"/>
  <c r="R336" i="2"/>
  <c r="K336" i="4" s="1"/>
  <c r="K336" i="2"/>
  <c r="G336" i="4" s="1"/>
  <c r="AC335" i="2"/>
  <c r="AD335" i="2" s="1"/>
  <c r="Z335" i="2"/>
  <c r="N335" i="4" s="1"/>
  <c r="W335" i="2"/>
  <c r="M335" i="4" s="1"/>
  <c r="R335" i="2"/>
  <c r="K335" i="4" s="1"/>
  <c r="K335" i="2"/>
  <c r="G335" i="4" s="1"/>
  <c r="AC334" i="2"/>
  <c r="AD334" i="2" s="1"/>
  <c r="Z334" i="2"/>
  <c r="N334" i="4" s="1"/>
  <c r="W334" i="2"/>
  <c r="M334" i="4" s="1"/>
  <c r="R334" i="2"/>
  <c r="K334" i="4" s="1"/>
  <c r="K334" i="2"/>
  <c r="G334" i="4" s="1"/>
  <c r="AC333" i="2"/>
  <c r="AD333" i="2" s="1"/>
  <c r="Z333" i="2"/>
  <c r="N333" i="4" s="1"/>
  <c r="W333" i="2"/>
  <c r="M333" i="4" s="1"/>
  <c r="K333" i="2"/>
  <c r="G333" i="4" s="1"/>
  <c r="AC332" i="2"/>
  <c r="AD332" i="2" s="1"/>
  <c r="Z332" i="2"/>
  <c r="N332" i="4" s="1"/>
  <c r="W332" i="2"/>
  <c r="M332" i="4" s="1"/>
  <c r="R332" i="2"/>
  <c r="K332" i="4" s="1"/>
  <c r="K332" i="2"/>
  <c r="G332" i="4" s="1"/>
  <c r="AC331" i="2"/>
  <c r="AD331" i="2" s="1"/>
  <c r="Z331" i="2"/>
  <c r="N331" i="4" s="1"/>
  <c r="W331" i="2"/>
  <c r="M331" i="4" s="1"/>
  <c r="R331" i="2"/>
  <c r="K331" i="4" s="1"/>
  <c r="K331" i="2"/>
  <c r="G331" i="4" s="1"/>
  <c r="AC330" i="2"/>
  <c r="AD330" i="2" s="1"/>
  <c r="Z330" i="2"/>
  <c r="N330" i="4" s="1"/>
  <c r="W330" i="2"/>
  <c r="M330" i="4" s="1"/>
  <c r="R330" i="2"/>
  <c r="K330" i="4" s="1"/>
  <c r="K330" i="2"/>
  <c r="G330" i="4" s="1"/>
  <c r="AC329" i="2"/>
  <c r="Z329" i="2"/>
  <c r="N329" i="4" s="1"/>
  <c r="W329" i="2"/>
  <c r="M329" i="4" s="1"/>
  <c r="R329" i="2"/>
  <c r="K329" i="4" s="1"/>
  <c r="K329" i="2"/>
  <c r="G329" i="4" s="1"/>
  <c r="AC328" i="2"/>
  <c r="AD328" i="2" s="1"/>
  <c r="Z328" i="2"/>
  <c r="N328" i="4" s="1"/>
  <c r="W328" i="2"/>
  <c r="M328" i="4" s="1"/>
  <c r="K328" i="2"/>
  <c r="G328" i="4" s="1"/>
  <c r="AC327" i="2"/>
  <c r="AD327" i="2" s="1"/>
  <c r="Z327" i="2"/>
  <c r="N327" i="4" s="1"/>
  <c r="W327" i="2"/>
  <c r="M327" i="4" s="1"/>
  <c r="K327" i="2"/>
  <c r="G327" i="4" s="1"/>
  <c r="AC326" i="2"/>
  <c r="AD326" i="2" s="1"/>
  <c r="Z326" i="2"/>
  <c r="N326" i="4" s="1"/>
  <c r="W326" i="2"/>
  <c r="M326" i="4" s="1"/>
  <c r="K326" i="2"/>
  <c r="G326" i="4" s="1"/>
  <c r="AC325" i="2"/>
  <c r="AD325" i="2" s="1"/>
  <c r="Z325" i="2"/>
  <c r="N325" i="4" s="1"/>
  <c r="W325" i="2"/>
  <c r="M325" i="4" s="1"/>
  <c r="R325" i="2"/>
  <c r="K325" i="4" s="1"/>
  <c r="K325" i="2"/>
  <c r="G325" i="4" s="1"/>
  <c r="AC324" i="2"/>
  <c r="AD324" i="2" s="1"/>
  <c r="Z324" i="2"/>
  <c r="N324" i="4" s="1"/>
  <c r="W324" i="2"/>
  <c r="M324" i="4" s="1"/>
  <c r="R324" i="2"/>
  <c r="K324" i="4" s="1"/>
  <c r="K324" i="2"/>
  <c r="G324" i="4" s="1"/>
  <c r="AC323" i="2"/>
  <c r="AD323" i="2" s="1"/>
  <c r="Z323" i="2"/>
  <c r="N323" i="4" s="1"/>
  <c r="W323" i="2"/>
  <c r="M323" i="4" s="1"/>
  <c r="R323" i="2"/>
  <c r="K323" i="4" s="1"/>
  <c r="K323" i="2"/>
  <c r="G323" i="4" s="1"/>
  <c r="AC322" i="2"/>
  <c r="AD322" i="2" s="1"/>
  <c r="Z322" i="2"/>
  <c r="N322" i="4" s="1"/>
  <c r="W322" i="2"/>
  <c r="M322" i="4" s="1"/>
  <c r="R322" i="2"/>
  <c r="K322" i="4" s="1"/>
  <c r="K322" i="2"/>
  <c r="G322" i="4" s="1"/>
  <c r="AC321" i="2"/>
  <c r="Z321" i="2"/>
  <c r="N321" i="4" s="1"/>
  <c r="W321" i="2"/>
  <c r="M321" i="4" s="1"/>
  <c r="R321" i="2"/>
  <c r="K321" i="4" s="1"/>
  <c r="K321" i="2"/>
  <c r="G321" i="4" s="1"/>
  <c r="AC320" i="2"/>
  <c r="AD320" i="2" s="1"/>
  <c r="Z320" i="2"/>
  <c r="N320" i="4" s="1"/>
  <c r="W320" i="2"/>
  <c r="M320" i="4" s="1"/>
  <c r="R320" i="2"/>
  <c r="K320" i="4" s="1"/>
  <c r="K320" i="2"/>
  <c r="G320" i="4" s="1"/>
  <c r="AC319" i="2"/>
  <c r="AD319" i="2" s="1"/>
  <c r="Z319" i="2"/>
  <c r="N319" i="4" s="1"/>
  <c r="W319" i="2"/>
  <c r="M319" i="4" s="1"/>
  <c r="R319" i="2"/>
  <c r="K319" i="4" s="1"/>
  <c r="K319" i="2"/>
  <c r="G319" i="4" s="1"/>
  <c r="AC318" i="2"/>
  <c r="AD318" i="2" s="1"/>
  <c r="Z318" i="2"/>
  <c r="N318" i="4" s="1"/>
  <c r="W318" i="2"/>
  <c r="M318" i="4" s="1"/>
  <c r="R318" i="2"/>
  <c r="K318" i="4" s="1"/>
  <c r="K318" i="2"/>
  <c r="G318" i="4" s="1"/>
  <c r="AC317" i="2"/>
  <c r="AD317" i="2" s="1"/>
  <c r="Z317" i="2"/>
  <c r="N317" i="4" s="1"/>
  <c r="W317" i="2"/>
  <c r="M317" i="4" s="1"/>
  <c r="R317" i="2"/>
  <c r="K317" i="4" s="1"/>
  <c r="K317" i="2"/>
  <c r="G317" i="4" s="1"/>
  <c r="AC316" i="2"/>
  <c r="AD316" i="2" s="1"/>
  <c r="Z316" i="2"/>
  <c r="N316" i="4" s="1"/>
  <c r="W316" i="2"/>
  <c r="M316" i="4" s="1"/>
  <c r="R316" i="2"/>
  <c r="K316" i="4" s="1"/>
  <c r="K316" i="2"/>
  <c r="G316" i="4" s="1"/>
  <c r="AC315" i="2"/>
  <c r="AD315" i="2" s="1"/>
  <c r="Z315" i="2"/>
  <c r="N315" i="4" s="1"/>
  <c r="W315" i="2"/>
  <c r="M315" i="4" s="1"/>
  <c r="R315" i="2"/>
  <c r="K315" i="4" s="1"/>
  <c r="K315" i="2"/>
  <c r="G315" i="4" s="1"/>
  <c r="AC314" i="2"/>
  <c r="AD314" i="2" s="1"/>
  <c r="Z314" i="2"/>
  <c r="N314" i="4" s="1"/>
  <c r="W314" i="2"/>
  <c r="M314" i="4" s="1"/>
  <c r="R314" i="2"/>
  <c r="K314" i="4" s="1"/>
  <c r="K314" i="2"/>
  <c r="G314" i="4" s="1"/>
  <c r="AC313" i="2"/>
  <c r="Z313" i="2"/>
  <c r="N313" i="4" s="1"/>
  <c r="W313" i="2"/>
  <c r="M313" i="4" s="1"/>
  <c r="R313" i="2"/>
  <c r="K313" i="4" s="1"/>
  <c r="K313" i="2"/>
  <c r="G313" i="4" s="1"/>
  <c r="AC312" i="2"/>
  <c r="AD312" i="2" s="1"/>
  <c r="Z312" i="2"/>
  <c r="N312" i="4" s="1"/>
  <c r="W312" i="2"/>
  <c r="M312" i="4" s="1"/>
  <c r="R312" i="2"/>
  <c r="K312" i="4" s="1"/>
  <c r="K312" i="2"/>
  <c r="G312" i="4" s="1"/>
  <c r="AC311" i="2"/>
  <c r="AD311" i="2" s="1"/>
  <c r="Z311" i="2"/>
  <c r="N311" i="4" s="1"/>
  <c r="W311" i="2"/>
  <c r="M311" i="4" s="1"/>
  <c r="R311" i="2"/>
  <c r="K311" i="4" s="1"/>
  <c r="K311" i="2"/>
  <c r="G311" i="4" s="1"/>
  <c r="AC310" i="2"/>
  <c r="AD310" i="2" s="1"/>
  <c r="Z310" i="2"/>
  <c r="N310" i="4" s="1"/>
  <c r="W310" i="2"/>
  <c r="M310" i="4" s="1"/>
  <c r="K310" i="2"/>
  <c r="G310" i="4" s="1"/>
  <c r="AC309" i="2"/>
  <c r="AD309" i="2" s="1"/>
  <c r="Z309" i="2"/>
  <c r="N309" i="4" s="1"/>
  <c r="W309" i="2"/>
  <c r="M309" i="4" s="1"/>
  <c r="R309" i="2"/>
  <c r="K309" i="4" s="1"/>
  <c r="K309" i="2"/>
  <c r="G309" i="4" s="1"/>
  <c r="AC308" i="2"/>
  <c r="AD308" i="2" s="1"/>
  <c r="Z308" i="2"/>
  <c r="N308" i="4" s="1"/>
  <c r="W308" i="2"/>
  <c r="M308" i="4" s="1"/>
  <c r="R308" i="2"/>
  <c r="K308" i="4" s="1"/>
  <c r="K308" i="2"/>
  <c r="G308" i="4" s="1"/>
  <c r="AC307" i="2"/>
  <c r="AD307" i="2" s="1"/>
  <c r="Z307" i="2"/>
  <c r="N307" i="4" s="1"/>
  <c r="W307" i="2"/>
  <c r="M307" i="4" s="1"/>
  <c r="R307" i="2"/>
  <c r="K307" i="4" s="1"/>
  <c r="K307" i="2"/>
  <c r="G307" i="4" s="1"/>
  <c r="AC306" i="2"/>
  <c r="AD306" i="2" s="1"/>
  <c r="Z306" i="2"/>
  <c r="N306" i="4" s="1"/>
  <c r="W306" i="2"/>
  <c r="M306" i="4" s="1"/>
  <c r="R306" i="2"/>
  <c r="K306" i="4" s="1"/>
  <c r="K306" i="2"/>
  <c r="G306" i="4" s="1"/>
  <c r="AC305" i="2"/>
  <c r="Z305" i="2"/>
  <c r="N305" i="4" s="1"/>
  <c r="W305" i="2"/>
  <c r="M305" i="4" s="1"/>
  <c r="R305" i="2"/>
  <c r="K305" i="4" s="1"/>
  <c r="K305" i="2"/>
  <c r="G305" i="4" s="1"/>
  <c r="AC304" i="2"/>
  <c r="AD304" i="2" s="1"/>
  <c r="Z304" i="2"/>
  <c r="N304" i="4" s="1"/>
  <c r="W304" i="2"/>
  <c r="M304" i="4" s="1"/>
  <c r="R304" i="2"/>
  <c r="K304" i="4" s="1"/>
  <c r="K304" i="2"/>
  <c r="G304" i="4" s="1"/>
  <c r="AC303" i="2"/>
  <c r="AD303" i="2" s="1"/>
  <c r="Z303" i="2"/>
  <c r="N303" i="4" s="1"/>
  <c r="W303" i="2"/>
  <c r="M303" i="4" s="1"/>
  <c r="R303" i="2"/>
  <c r="K303" i="4" s="1"/>
  <c r="K303" i="2"/>
  <c r="G303" i="4" s="1"/>
  <c r="AC302" i="2"/>
  <c r="AD302" i="2" s="1"/>
  <c r="Z302" i="2"/>
  <c r="N302" i="4" s="1"/>
  <c r="W302" i="2"/>
  <c r="M302" i="4" s="1"/>
  <c r="R302" i="2"/>
  <c r="K302" i="4" s="1"/>
  <c r="K302" i="2"/>
  <c r="G302" i="4" s="1"/>
  <c r="AC301" i="2"/>
  <c r="AD301" i="2" s="1"/>
  <c r="Z301" i="2"/>
  <c r="N301" i="4" s="1"/>
  <c r="W301" i="2"/>
  <c r="M301" i="4" s="1"/>
  <c r="R301" i="2"/>
  <c r="K301" i="4" s="1"/>
  <c r="K301" i="2"/>
  <c r="G301" i="4" s="1"/>
  <c r="AC300" i="2"/>
  <c r="AD300" i="2" s="1"/>
  <c r="Z300" i="2"/>
  <c r="N300" i="4" s="1"/>
  <c r="W300" i="2"/>
  <c r="M300" i="4" s="1"/>
  <c r="R300" i="2"/>
  <c r="K300" i="4" s="1"/>
  <c r="K300" i="2"/>
  <c r="G300" i="4" s="1"/>
  <c r="AC299" i="2"/>
  <c r="AD299" i="2" s="1"/>
  <c r="Z299" i="2"/>
  <c r="N299" i="4" s="1"/>
  <c r="W299" i="2"/>
  <c r="M299" i="4" s="1"/>
  <c r="R299" i="2"/>
  <c r="K299" i="4" s="1"/>
  <c r="K299" i="2"/>
  <c r="G299" i="4" s="1"/>
  <c r="AC298" i="2"/>
  <c r="AD298" i="2" s="1"/>
  <c r="Z298" i="2"/>
  <c r="N298" i="4" s="1"/>
  <c r="W298" i="2"/>
  <c r="M298" i="4" s="1"/>
  <c r="R298" i="2"/>
  <c r="K298" i="4" s="1"/>
  <c r="K298" i="2"/>
  <c r="G298" i="4" s="1"/>
  <c r="AC297" i="2"/>
  <c r="Z297" i="2"/>
  <c r="N297" i="4" s="1"/>
  <c r="W297" i="2"/>
  <c r="M297" i="4" s="1"/>
  <c r="R297" i="2"/>
  <c r="K297" i="4" s="1"/>
  <c r="K297" i="2"/>
  <c r="G297" i="4" s="1"/>
  <c r="AC296" i="2"/>
  <c r="AD296" i="2" s="1"/>
  <c r="Z296" i="2"/>
  <c r="N296" i="4" s="1"/>
  <c r="W296" i="2"/>
  <c r="M296" i="4" s="1"/>
  <c r="R296" i="2"/>
  <c r="K296" i="4" s="1"/>
  <c r="K296" i="2"/>
  <c r="G296" i="4" s="1"/>
  <c r="AC295" i="2"/>
  <c r="AD295" i="2" s="1"/>
  <c r="Z295" i="2"/>
  <c r="N295" i="4" s="1"/>
  <c r="W295" i="2"/>
  <c r="M295" i="4" s="1"/>
  <c r="K295" i="2"/>
  <c r="G295" i="4" s="1"/>
  <c r="AC294" i="2"/>
  <c r="AD294" i="2" s="1"/>
  <c r="Z294" i="2"/>
  <c r="N294" i="4" s="1"/>
  <c r="W294" i="2"/>
  <c r="M294" i="4" s="1"/>
  <c r="K294" i="2"/>
  <c r="G294" i="4" s="1"/>
  <c r="AC293" i="2"/>
  <c r="AD293" i="2" s="1"/>
  <c r="Z293" i="2"/>
  <c r="N293" i="4" s="1"/>
  <c r="W293" i="2"/>
  <c r="M293" i="4" s="1"/>
  <c r="R293" i="2"/>
  <c r="K293" i="4" s="1"/>
  <c r="K293" i="2"/>
  <c r="G293" i="4" s="1"/>
  <c r="AC292" i="2"/>
  <c r="AD292" i="2" s="1"/>
  <c r="Z292" i="2"/>
  <c r="N292" i="4" s="1"/>
  <c r="W292" i="2"/>
  <c r="M292" i="4" s="1"/>
  <c r="R292" i="2"/>
  <c r="K292" i="4" s="1"/>
  <c r="K292" i="2"/>
  <c r="G292" i="4" s="1"/>
  <c r="AC291" i="2"/>
  <c r="AD291" i="2" s="1"/>
  <c r="Z291" i="2"/>
  <c r="N291" i="4" s="1"/>
  <c r="W291" i="2"/>
  <c r="M291" i="4" s="1"/>
  <c r="R291" i="2"/>
  <c r="K291" i="4" s="1"/>
  <c r="K291" i="2"/>
  <c r="G291" i="4" s="1"/>
  <c r="AC290" i="2"/>
  <c r="AD290" i="2" s="1"/>
  <c r="Z290" i="2"/>
  <c r="N290" i="4" s="1"/>
  <c r="W290" i="2"/>
  <c r="M290" i="4" s="1"/>
  <c r="R290" i="2"/>
  <c r="K290" i="4" s="1"/>
  <c r="K290" i="2"/>
  <c r="G290" i="4" s="1"/>
  <c r="AC289" i="2"/>
  <c r="Z289" i="2"/>
  <c r="N289" i="4" s="1"/>
  <c r="W289" i="2"/>
  <c r="M289" i="4" s="1"/>
  <c r="R289" i="2"/>
  <c r="K289" i="4" s="1"/>
  <c r="K289" i="2"/>
  <c r="G289" i="4" s="1"/>
  <c r="AC288" i="2"/>
  <c r="AD288" i="2" s="1"/>
  <c r="Z288" i="2"/>
  <c r="N288" i="4" s="1"/>
  <c r="W288" i="2"/>
  <c r="M288" i="4" s="1"/>
  <c r="R288" i="2"/>
  <c r="K288" i="4" s="1"/>
  <c r="K288" i="2"/>
  <c r="G288" i="4" s="1"/>
  <c r="AC287" i="2"/>
  <c r="AD287" i="2" s="1"/>
  <c r="Z287" i="2"/>
  <c r="N287" i="4" s="1"/>
  <c r="W287" i="2"/>
  <c r="M287" i="4" s="1"/>
  <c r="R287" i="2"/>
  <c r="K287" i="4" s="1"/>
  <c r="K287" i="2"/>
  <c r="G287" i="4" s="1"/>
  <c r="AC286" i="2"/>
  <c r="AD286" i="2" s="1"/>
  <c r="Z286" i="2"/>
  <c r="N286" i="4" s="1"/>
  <c r="W286" i="2"/>
  <c r="M286" i="4" s="1"/>
  <c r="R286" i="2"/>
  <c r="K286" i="4" s="1"/>
  <c r="K286" i="2"/>
  <c r="G286" i="4" s="1"/>
  <c r="AC285" i="2"/>
  <c r="AD285" i="2" s="1"/>
  <c r="Z285" i="2"/>
  <c r="N285" i="4" s="1"/>
  <c r="W285" i="2"/>
  <c r="M285" i="4" s="1"/>
  <c r="R285" i="2"/>
  <c r="K285" i="4" s="1"/>
  <c r="K285" i="2"/>
  <c r="G285" i="4" s="1"/>
  <c r="AC284" i="2"/>
  <c r="AD284" i="2" s="1"/>
  <c r="Z284" i="2"/>
  <c r="N284" i="4" s="1"/>
  <c r="W284" i="2"/>
  <c r="M284" i="4" s="1"/>
  <c r="R284" i="2"/>
  <c r="K284" i="4" s="1"/>
  <c r="K284" i="2"/>
  <c r="G284" i="4" s="1"/>
  <c r="AC283" i="2"/>
  <c r="AD283" i="2" s="1"/>
  <c r="Z283" i="2"/>
  <c r="N283" i="4" s="1"/>
  <c r="W283" i="2"/>
  <c r="M283" i="4" s="1"/>
  <c r="R283" i="2"/>
  <c r="K283" i="4" s="1"/>
  <c r="K283" i="2"/>
  <c r="G283" i="4" s="1"/>
  <c r="AC282" i="2"/>
  <c r="AD282" i="2" s="1"/>
  <c r="Z282" i="2"/>
  <c r="N282" i="4" s="1"/>
  <c r="W282" i="2"/>
  <c r="M282" i="4" s="1"/>
  <c r="R282" i="2"/>
  <c r="K282" i="4" s="1"/>
  <c r="K282" i="2"/>
  <c r="G282" i="4" s="1"/>
  <c r="AC281" i="2"/>
  <c r="Z281" i="2"/>
  <c r="N281" i="4" s="1"/>
  <c r="W281" i="2"/>
  <c r="M281" i="4" s="1"/>
  <c r="R281" i="2"/>
  <c r="K281" i="4" s="1"/>
  <c r="K281" i="2"/>
  <c r="G281" i="4" s="1"/>
  <c r="AC280" i="2"/>
  <c r="AD280" i="2" s="1"/>
  <c r="Z280" i="2"/>
  <c r="N280" i="4" s="1"/>
  <c r="W280" i="2"/>
  <c r="M280" i="4" s="1"/>
  <c r="R280" i="2"/>
  <c r="K280" i="4" s="1"/>
  <c r="K280" i="2"/>
  <c r="G280" i="4" s="1"/>
  <c r="AC279" i="2"/>
  <c r="AD279" i="2" s="1"/>
  <c r="Z279" i="2"/>
  <c r="N279" i="4" s="1"/>
  <c r="W279" i="2"/>
  <c r="M279" i="4" s="1"/>
  <c r="K279" i="2"/>
  <c r="G279" i="4" s="1"/>
  <c r="AC278" i="2"/>
  <c r="AD278" i="2" s="1"/>
  <c r="Z278" i="2"/>
  <c r="N278" i="4" s="1"/>
  <c r="W278" i="2"/>
  <c r="M278" i="4" s="1"/>
  <c r="K278" i="2"/>
  <c r="G278" i="4" s="1"/>
  <c r="AC277" i="2"/>
  <c r="AD277" i="2" s="1"/>
  <c r="Z277" i="2"/>
  <c r="N277" i="4" s="1"/>
  <c r="W277" i="2"/>
  <c r="M277" i="4" s="1"/>
  <c r="R277" i="2"/>
  <c r="K277" i="4" s="1"/>
  <c r="K277" i="2"/>
  <c r="G277" i="4" s="1"/>
  <c r="AC276" i="2"/>
  <c r="AD276" i="2" s="1"/>
  <c r="Z276" i="2"/>
  <c r="N276" i="4" s="1"/>
  <c r="W276" i="2"/>
  <c r="M276" i="4" s="1"/>
  <c r="R276" i="2"/>
  <c r="K276" i="4" s="1"/>
  <c r="K276" i="2"/>
  <c r="G276" i="4" s="1"/>
  <c r="AC275" i="2"/>
  <c r="AD275" i="2" s="1"/>
  <c r="Z275" i="2"/>
  <c r="N275" i="4" s="1"/>
  <c r="W275" i="2"/>
  <c r="M275" i="4" s="1"/>
  <c r="R275" i="2"/>
  <c r="K275" i="4" s="1"/>
  <c r="K275" i="2"/>
  <c r="G275" i="4" s="1"/>
  <c r="AC274" i="2"/>
  <c r="AD274" i="2" s="1"/>
  <c r="Z274" i="2"/>
  <c r="N274" i="4" s="1"/>
  <c r="W274" i="2"/>
  <c r="M274" i="4" s="1"/>
  <c r="R274" i="2"/>
  <c r="K274" i="4" s="1"/>
  <c r="K274" i="2"/>
  <c r="G274" i="4" s="1"/>
  <c r="AC273" i="2"/>
  <c r="Z273" i="2"/>
  <c r="N273" i="4" s="1"/>
  <c r="W273" i="2"/>
  <c r="M273" i="4" s="1"/>
  <c r="R273" i="2"/>
  <c r="K273" i="4" s="1"/>
  <c r="K273" i="2"/>
  <c r="G273" i="4" s="1"/>
  <c r="AC272" i="2"/>
  <c r="AD272" i="2" s="1"/>
  <c r="Z272" i="2"/>
  <c r="N272" i="4" s="1"/>
  <c r="W272" i="2"/>
  <c r="M272" i="4" s="1"/>
  <c r="R272" i="2"/>
  <c r="K272" i="4" s="1"/>
  <c r="K272" i="2"/>
  <c r="G272" i="4" s="1"/>
  <c r="AC271" i="2"/>
  <c r="AD271" i="2" s="1"/>
  <c r="Z271" i="2"/>
  <c r="N271" i="4" s="1"/>
  <c r="W271" i="2"/>
  <c r="M271" i="4" s="1"/>
  <c r="R271" i="2"/>
  <c r="K271" i="4" s="1"/>
  <c r="K271" i="2"/>
  <c r="G271" i="4" s="1"/>
  <c r="AC270" i="2"/>
  <c r="AD270" i="2" s="1"/>
  <c r="Z270" i="2"/>
  <c r="N270" i="4" s="1"/>
  <c r="W270" i="2"/>
  <c r="M270" i="4" s="1"/>
  <c r="K270" i="2"/>
  <c r="G270" i="4" s="1"/>
  <c r="AC269" i="2"/>
  <c r="AD269" i="2" s="1"/>
  <c r="Z269" i="2"/>
  <c r="N269" i="4" s="1"/>
  <c r="W269" i="2"/>
  <c r="M269" i="4" s="1"/>
  <c r="R269" i="2"/>
  <c r="K269" i="4" s="1"/>
  <c r="K269" i="2"/>
  <c r="G269" i="4" s="1"/>
  <c r="AC268" i="2"/>
  <c r="AD268" i="2" s="1"/>
  <c r="Z268" i="2"/>
  <c r="N268" i="4" s="1"/>
  <c r="W268" i="2"/>
  <c r="M268" i="4" s="1"/>
  <c r="R268" i="2"/>
  <c r="K268" i="4" s="1"/>
  <c r="K268" i="2"/>
  <c r="G268" i="4" s="1"/>
  <c r="AC267" i="2"/>
  <c r="AD267" i="2" s="1"/>
  <c r="Z267" i="2"/>
  <c r="N267" i="4" s="1"/>
  <c r="W267" i="2"/>
  <c r="M267" i="4" s="1"/>
  <c r="R267" i="2"/>
  <c r="K267" i="4" s="1"/>
  <c r="K267" i="2"/>
  <c r="G267" i="4" s="1"/>
  <c r="AC266" i="2"/>
  <c r="AD266" i="2" s="1"/>
  <c r="Z266" i="2"/>
  <c r="N266" i="4" s="1"/>
  <c r="W266" i="2"/>
  <c r="M266" i="4" s="1"/>
  <c r="R266" i="2"/>
  <c r="K266" i="4" s="1"/>
  <c r="K266" i="2"/>
  <c r="G266" i="4" s="1"/>
  <c r="AC265" i="2"/>
  <c r="Z265" i="2"/>
  <c r="N265" i="4" s="1"/>
  <c r="W265" i="2"/>
  <c r="M265" i="4" s="1"/>
  <c r="R265" i="2"/>
  <c r="K265" i="4" s="1"/>
  <c r="K265" i="2"/>
  <c r="G265" i="4" s="1"/>
  <c r="AC264" i="2"/>
  <c r="AD264" i="2" s="1"/>
  <c r="Z264" i="2"/>
  <c r="N264" i="4" s="1"/>
  <c r="W264" i="2"/>
  <c r="M264" i="4" s="1"/>
  <c r="R264" i="2"/>
  <c r="K264" i="4" s="1"/>
  <c r="K264" i="2"/>
  <c r="G264" i="4" s="1"/>
  <c r="AC263" i="2"/>
  <c r="AD263" i="2" s="1"/>
  <c r="Z263" i="2"/>
  <c r="N263" i="4" s="1"/>
  <c r="W263" i="2"/>
  <c r="M263" i="4" s="1"/>
  <c r="R263" i="2"/>
  <c r="K263" i="4" s="1"/>
  <c r="K263" i="2"/>
  <c r="G263" i="4" s="1"/>
  <c r="AC262" i="2"/>
  <c r="AD262" i="2" s="1"/>
  <c r="Z262" i="2"/>
  <c r="N262" i="4" s="1"/>
  <c r="W262" i="2"/>
  <c r="M262" i="4" s="1"/>
  <c r="R262" i="2"/>
  <c r="K262" i="4" s="1"/>
  <c r="K262" i="2"/>
  <c r="G262" i="4" s="1"/>
  <c r="AC261" i="2"/>
  <c r="AD261" i="2" s="1"/>
  <c r="Z261" i="2"/>
  <c r="N261" i="4" s="1"/>
  <c r="W261" i="2"/>
  <c r="M261" i="4" s="1"/>
  <c r="K261" i="2"/>
  <c r="G261" i="4" s="1"/>
  <c r="AC260" i="2"/>
  <c r="AD260" i="2" s="1"/>
  <c r="Z260" i="2"/>
  <c r="N260" i="4" s="1"/>
  <c r="W260" i="2"/>
  <c r="M260" i="4" s="1"/>
  <c r="R260" i="2"/>
  <c r="K260" i="4" s="1"/>
  <c r="K260" i="2"/>
  <c r="G260" i="4" s="1"/>
  <c r="AC259" i="2"/>
  <c r="AD259" i="2" s="1"/>
  <c r="Z259" i="2"/>
  <c r="N259" i="4" s="1"/>
  <c r="W259" i="2"/>
  <c r="M259" i="4" s="1"/>
  <c r="R259" i="2"/>
  <c r="K259" i="4" s="1"/>
  <c r="K259" i="2"/>
  <c r="G259" i="4" s="1"/>
  <c r="AC258" i="2"/>
  <c r="AD258" i="2" s="1"/>
  <c r="Z258" i="2"/>
  <c r="N258" i="4" s="1"/>
  <c r="W258" i="2"/>
  <c r="M258" i="4" s="1"/>
  <c r="R258" i="2"/>
  <c r="K258" i="4" s="1"/>
  <c r="K258" i="2"/>
  <c r="G258" i="4" s="1"/>
  <c r="AC257" i="2"/>
  <c r="Z257" i="2"/>
  <c r="N257" i="4" s="1"/>
  <c r="W257" i="2"/>
  <c r="M257" i="4" s="1"/>
  <c r="R257" i="2"/>
  <c r="K257" i="4" s="1"/>
  <c r="K257" i="2"/>
  <c r="G257" i="4" s="1"/>
  <c r="AC256" i="2"/>
  <c r="AD256" i="2" s="1"/>
  <c r="Z256" i="2"/>
  <c r="N256" i="4" s="1"/>
  <c r="W256" i="2"/>
  <c r="M256" i="4" s="1"/>
  <c r="R256" i="2"/>
  <c r="K256" i="4" s="1"/>
  <c r="K256" i="2"/>
  <c r="G256" i="4" s="1"/>
  <c r="AC255" i="2"/>
  <c r="AD255" i="2" s="1"/>
  <c r="Z255" i="2"/>
  <c r="N255" i="4" s="1"/>
  <c r="W255" i="2"/>
  <c r="M255" i="4" s="1"/>
  <c r="R255" i="2"/>
  <c r="K255" i="4" s="1"/>
  <c r="K255" i="2"/>
  <c r="G255" i="4" s="1"/>
  <c r="AC254" i="2"/>
  <c r="AD254" i="2" s="1"/>
  <c r="Z254" i="2"/>
  <c r="N254" i="4" s="1"/>
  <c r="W254" i="2"/>
  <c r="M254" i="4" s="1"/>
  <c r="R254" i="2"/>
  <c r="K254" i="4" s="1"/>
  <c r="K254" i="2"/>
  <c r="G254" i="4" s="1"/>
  <c r="AC253" i="2"/>
  <c r="AD253" i="2" s="1"/>
  <c r="Z253" i="2"/>
  <c r="N253" i="4" s="1"/>
  <c r="W253" i="2"/>
  <c r="M253" i="4" s="1"/>
  <c r="R253" i="2"/>
  <c r="K253" i="4" s="1"/>
  <c r="K253" i="2"/>
  <c r="G253" i="4" s="1"/>
  <c r="AC252" i="2"/>
  <c r="AD252" i="2" s="1"/>
  <c r="Z252" i="2"/>
  <c r="N252" i="4" s="1"/>
  <c r="W252" i="2"/>
  <c r="M252" i="4" s="1"/>
  <c r="R252" i="2"/>
  <c r="K252" i="4" s="1"/>
  <c r="K252" i="2"/>
  <c r="G252" i="4" s="1"/>
  <c r="AC251" i="2"/>
  <c r="AD251" i="2" s="1"/>
  <c r="Z251" i="2"/>
  <c r="N251" i="4" s="1"/>
  <c r="W251" i="2"/>
  <c r="M251" i="4" s="1"/>
  <c r="R251" i="2"/>
  <c r="K251" i="4" s="1"/>
  <c r="K251" i="2"/>
  <c r="G251" i="4" s="1"/>
  <c r="AC250" i="2"/>
  <c r="AD250" i="2" s="1"/>
  <c r="Z250" i="2"/>
  <c r="N250" i="4" s="1"/>
  <c r="W250" i="2"/>
  <c r="M250" i="4" s="1"/>
  <c r="K250" i="2"/>
  <c r="G250" i="4" s="1"/>
  <c r="AC249" i="2"/>
  <c r="Z249" i="2"/>
  <c r="N249" i="4" s="1"/>
  <c r="W249" i="2"/>
  <c r="M249" i="4" s="1"/>
  <c r="R249" i="2"/>
  <c r="K249" i="4" s="1"/>
  <c r="K249" i="2"/>
  <c r="G249" i="4" s="1"/>
  <c r="AC248" i="2"/>
  <c r="AD248" i="2" s="1"/>
  <c r="Z248" i="2"/>
  <c r="N248" i="4" s="1"/>
  <c r="W248" i="2"/>
  <c r="M248" i="4" s="1"/>
  <c r="R248" i="2"/>
  <c r="K248" i="4" s="1"/>
  <c r="K248" i="2"/>
  <c r="G248" i="4" s="1"/>
  <c r="AC247" i="2"/>
  <c r="AD247" i="2" s="1"/>
  <c r="Z247" i="2"/>
  <c r="N247" i="4" s="1"/>
  <c r="W247" i="2"/>
  <c r="M247" i="4" s="1"/>
  <c r="R247" i="2"/>
  <c r="K247" i="4" s="1"/>
  <c r="K247" i="2"/>
  <c r="G247" i="4" s="1"/>
  <c r="AC246" i="2"/>
  <c r="AD246" i="2" s="1"/>
  <c r="Z246" i="2"/>
  <c r="N246" i="4" s="1"/>
  <c r="W246" i="2"/>
  <c r="M246" i="4" s="1"/>
  <c r="R246" i="2"/>
  <c r="K246" i="4" s="1"/>
  <c r="K246" i="2"/>
  <c r="G246" i="4" s="1"/>
  <c r="AC245" i="2"/>
  <c r="AD245" i="2" s="1"/>
  <c r="Z245" i="2"/>
  <c r="N245" i="4" s="1"/>
  <c r="W245" i="2"/>
  <c r="M245" i="4" s="1"/>
  <c r="R245" i="2"/>
  <c r="K245" i="4" s="1"/>
  <c r="K245" i="2"/>
  <c r="G245" i="4" s="1"/>
  <c r="AC244" i="2"/>
  <c r="AD244" i="2" s="1"/>
  <c r="Z244" i="2"/>
  <c r="N244" i="4" s="1"/>
  <c r="W244" i="2"/>
  <c r="M244" i="4" s="1"/>
  <c r="R244" i="2"/>
  <c r="K244" i="4" s="1"/>
  <c r="K244" i="2"/>
  <c r="G244" i="4" s="1"/>
  <c r="AC243" i="2"/>
  <c r="AD243" i="2" s="1"/>
  <c r="Z243" i="2"/>
  <c r="N243" i="4" s="1"/>
  <c r="W243" i="2"/>
  <c r="M243" i="4" s="1"/>
  <c r="R243" i="2"/>
  <c r="K243" i="4" s="1"/>
  <c r="K243" i="2"/>
  <c r="G243" i="4" s="1"/>
  <c r="AC242" i="2"/>
  <c r="AD242" i="2" s="1"/>
  <c r="Z242" i="2"/>
  <c r="N242" i="4" s="1"/>
  <c r="W242" i="2"/>
  <c r="M242" i="4" s="1"/>
  <c r="R242" i="2"/>
  <c r="K242" i="4" s="1"/>
  <c r="K242" i="2"/>
  <c r="G242" i="4" s="1"/>
  <c r="AC241" i="2"/>
  <c r="Z241" i="2"/>
  <c r="N241" i="4" s="1"/>
  <c r="W241" i="2"/>
  <c r="M241" i="4" s="1"/>
  <c r="R241" i="2"/>
  <c r="K241" i="4" s="1"/>
  <c r="K241" i="2"/>
  <c r="G241" i="4" s="1"/>
  <c r="AC240" i="2"/>
  <c r="AD240" i="2" s="1"/>
  <c r="Z240" i="2"/>
  <c r="N240" i="4" s="1"/>
  <c r="W240" i="2"/>
  <c r="M240" i="4" s="1"/>
  <c r="K240" i="2"/>
  <c r="G240" i="4" s="1"/>
  <c r="AC239" i="2"/>
  <c r="AD239" i="2" s="1"/>
  <c r="Z239" i="2"/>
  <c r="N239" i="4" s="1"/>
  <c r="W239" i="2"/>
  <c r="M239" i="4" s="1"/>
  <c r="R239" i="2"/>
  <c r="K239" i="4" s="1"/>
  <c r="K239" i="2"/>
  <c r="G239" i="4" s="1"/>
  <c r="AC238" i="2"/>
  <c r="AD238" i="2" s="1"/>
  <c r="Z238" i="2"/>
  <c r="N238" i="4" s="1"/>
  <c r="W238" i="2"/>
  <c r="M238" i="4" s="1"/>
  <c r="R238" i="2"/>
  <c r="K238" i="4" s="1"/>
  <c r="K238" i="2"/>
  <c r="G238" i="4" s="1"/>
  <c r="AC237" i="2"/>
  <c r="AD237" i="2" s="1"/>
  <c r="Z237" i="2"/>
  <c r="N237" i="4" s="1"/>
  <c r="W237" i="2"/>
  <c r="M237" i="4" s="1"/>
  <c r="R237" i="2"/>
  <c r="K237" i="4" s="1"/>
  <c r="K237" i="2"/>
  <c r="G237" i="4" s="1"/>
  <c r="AC236" i="2"/>
  <c r="AD236" i="2" s="1"/>
  <c r="Z236" i="2"/>
  <c r="N236" i="4" s="1"/>
  <c r="W236" i="2"/>
  <c r="M236" i="4" s="1"/>
  <c r="R236" i="2"/>
  <c r="R218" i="2" s="1"/>
  <c r="K218" i="4" s="1"/>
  <c r="K236" i="2"/>
  <c r="G236" i="4" s="1"/>
  <c r="AC235" i="2"/>
  <c r="AD235" i="2" s="1"/>
  <c r="Z235" i="2"/>
  <c r="N235" i="4" s="1"/>
  <c r="W235" i="2"/>
  <c r="M235" i="4" s="1"/>
  <c r="R235" i="2"/>
  <c r="K235" i="4" s="1"/>
  <c r="K235" i="2"/>
  <c r="G235" i="4" s="1"/>
  <c r="AC234" i="2"/>
  <c r="AD234" i="2" s="1"/>
  <c r="Z234" i="2"/>
  <c r="N234" i="4" s="1"/>
  <c r="W234" i="2"/>
  <c r="M234" i="4" s="1"/>
  <c r="R234" i="2"/>
  <c r="K234" i="4" s="1"/>
  <c r="K234" i="2"/>
  <c r="G234" i="4" s="1"/>
  <c r="AC233" i="2"/>
  <c r="Z233" i="2"/>
  <c r="N233" i="4" s="1"/>
  <c r="W233" i="2"/>
  <c r="M233" i="4" s="1"/>
  <c r="R233" i="2"/>
  <c r="K233" i="4" s="1"/>
  <c r="K233" i="2"/>
  <c r="G233" i="4" s="1"/>
  <c r="AC232" i="2"/>
  <c r="AD232" i="2" s="1"/>
  <c r="Z232" i="2"/>
  <c r="N232" i="4" s="1"/>
  <c r="W232" i="2"/>
  <c r="M232" i="4" s="1"/>
  <c r="R232" i="2"/>
  <c r="K232" i="4" s="1"/>
  <c r="K232" i="2"/>
  <c r="G232" i="4" s="1"/>
  <c r="AC231" i="2"/>
  <c r="AD231" i="2" s="1"/>
  <c r="Z231" i="2"/>
  <c r="N231" i="4" s="1"/>
  <c r="W231" i="2"/>
  <c r="M231" i="4" s="1"/>
  <c r="R231" i="2"/>
  <c r="K231" i="4" s="1"/>
  <c r="K231" i="2"/>
  <c r="G231" i="4" s="1"/>
  <c r="AC230" i="2"/>
  <c r="AD230" i="2" s="1"/>
  <c r="Z230" i="2"/>
  <c r="N230" i="4" s="1"/>
  <c r="W230" i="2"/>
  <c r="M230" i="4" s="1"/>
  <c r="R230" i="2"/>
  <c r="K230" i="4" s="1"/>
  <c r="K230" i="2"/>
  <c r="G230" i="4" s="1"/>
  <c r="AC229" i="2"/>
  <c r="AD229" i="2" s="1"/>
  <c r="Z229" i="2"/>
  <c r="N229" i="4" s="1"/>
  <c r="W229" i="2"/>
  <c r="M229" i="4" s="1"/>
  <c r="R229" i="2"/>
  <c r="K229" i="4" s="1"/>
  <c r="K229" i="2"/>
  <c r="G229" i="4" s="1"/>
  <c r="AC228" i="2"/>
  <c r="AD228" i="2" s="1"/>
  <c r="Z228" i="2"/>
  <c r="N228" i="4" s="1"/>
  <c r="W228" i="2"/>
  <c r="M228" i="4" s="1"/>
  <c r="R228" i="2"/>
  <c r="K228" i="4" s="1"/>
  <c r="K228" i="2"/>
  <c r="G228" i="4" s="1"/>
  <c r="AC227" i="2"/>
  <c r="AD227" i="2" s="1"/>
  <c r="Z227" i="2"/>
  <c r="N227" i="4" s="1"/>
  <c r="W227" i="2"/>
  <c r="M227" i="4" s="1"/>
  <c r="R227" i="2"/>
  <c r="K227" i="4" s="1"/>
  <c r="K227" i="2"/>
  <c r="G227" i="4" s="1"/>
  <c r="AC226" i="2"/>
  <c r="AD226" i="2" s="1"/>
  <c r="Z226" i="2"/>
  <c r="N226" i="4" s="1"/>
  <c r="W226" i="2"/>
  <c r="M226" i="4" s="1"/>
  <c r="R226" i="2"/>
  <c r="K226" i="4" s="1"/>
  <c r="K226" i="2"/>
  <c r="G226" i="4" s="1"/>
  <c r="AC225" i="2"/>
  <c r="Z225" i="2"/>
  <c r="N225" i="4" s="1"/>
  <c r="W225" i="2"/>
  <c r="M225" i="4" s="1"/>
  <c r="R225" i="2"/>
  <c r="K225" i="4" s="1"/>
  <c r="K225" i="2"/>
  <c r="G225" i="4" s="1"/>
  <c r="AC224" i="2"/>
  <c r="AD224" i="2" s="1"/>
  <c r="Z224" i="2"/>
  <c r="N224" i="4" s="1"/>
  <c r="W224" i="2"/>
  <c r="M224" i="4" s="1"/>
  <c r="R224" i="2"/>
  <c r="K224" i="4" s="1"/>
  <c r="K224" i="2"/>
  <c r="G224" i="4" s="1"/>
  <c r="AC223" i="2"/>
  <c r="AD223" i="2" s="1"/>
  <c r="Z223" i="2"/>
  <c r="N223" i="4" s="1"/>
  <c r="W223" i="2"/>
  <c r="M223" i="4" s="1"/>
  <c r="K223" i="2"/>
  <c r="G223" i="4" s="1"/>
  <c r="AC222" i="2"/>
  <c r="AD222" i="2" s="1"/>
  <c r="Z222" i="2"/>
  <c r="N222" i="4" s="1"/>
  <c r="W222" i="2"/>
  <c r="M222" i="4" s="1"/>
  <c r="K222" i="2"/>
  <c r="G222" i="4" s="1"/>
  <c r="AC221" i="2"/>
  <c r="AD221" i="2" s="1"/>
  <c r="Z221" i="2"/>
  <c r="N221" i="4" s="1"/>
  <c r="W221" i="2"/>
  <c r="M221" i="4" s="1"/>
  <c r="R221" i="2"/>
  <c r="K221" i="4" s="1"/>
  <c r="K221" i="2"/>
  <c r="G221" i="4" s="1"/>
  <c r="AC220" i="2"/>
  <c r="AD220" i="2" s="1"/>
  <c r="Z220" i="2"/>
  <c r="N220" i="4" s="1"/>
  <c r="W220" i="2"/>
  <c r="M220" i="4" s="1"/>
  <c r="R220" i="2"/>
  <c r="K220" i="4" s="1"/>
  <c r="K220" i="2"/>
  <c r="G220" i="4" s="1"/>
  <c r="AC219" i="2"/>
  <c r="AD219" i="2" s="1"/>
  <c r="Z219" i="2"/>
  <c r="N219" i="4" s="1"/>
  <c r="W219" i="2"/>
  <c r="M219" i="4" s="1"/>
  <c r="R219" i="2"/>
  <c r="K219" i="4" s="1"/>
  <c r="K219" i="2"/>
  <c r="G219" i="4" s="1"/>
  <c r="AC218" i="2"/>
  <c r="AD218" i="2" s="1"/>
  <c r="Z218" i="2"/>
  <c r="N218" i="4" s="1"/>
  <c r="W218" i="2"/>
  <c r="M218" i="4" s="1"/>
  <c r="K218" i="2"/>
  <c r="G218" i="4" s="1"/>
  <c r="AC217" i="2"/>
  <c r="Z217" i="2"/>
  <c r="N217" i="4" s="1"/>
  <c r="W217" i="2"/>
  <c r="M217" i="4" s="1"/>
  <c r="R217" i="2"/>
  <c r="K217" i="4" s="1"/>
  <c r="K217" i="2"/>
  <c r="G217" i="4" s="1"/>
  <c r="AC216" i="2"/>
  <c r="AD216" i="2" s="1"/>
  <c r="Z216" i="2"/>
  <c r="N216" i="4" s="1"/>
  <c r="W216" i="2"/>
  <c r="M216" i="4" s="1"/>
  <c r="K216" i="2"/>
  <c r="G216" i="4" s="1"/>
  <c r="AC215" i="2"/>
  <c r="AD215" i="2" s="1"/>
  <c r="Z215" i="2"/>
  <c r="N215" i="4" s="1"/>
  <c r="W215" i="2"/>
  <c r="M215" i="4" s="1"/>
  <c r="R215" i="2"/>
  <c r="K215" i="4" s="1"/>
  <c r="K215" i="2"/>
  <c r="G215" i="4" s="1"/>
  <c r="AC214" i="2"/>
  <c r="AD214" i="2" s="1"/>
  <c r="Z214" i="2"/>
  <c r="N214" i="4" s="1"/>
  <c r="W214" i="2"/>
  <c r="M214" i="4" s="1"/>
  <c r="R214" i="2"/>
  <c r="K214" i="4" s="1"/>
  <c r="K214" i="2"/>
  <c r="G214" i="4" s="1"/>
  <c r="AC213" i="2"/>
  <c r="AD213" i="2" s="1"/>
  <c r="Z213" i="2"/>
  <c r="N213" i="4" s="1"/>
  <c r="W213" i="2"/>
  <c r="M213" i="4" s="1"/>
  <c r="R213" i="2"/>
  <c r="K213" i="4" s="1"/>
  <c r="K213" i="2"/>
  <c r="G213" i="4" s="1"/>
  <c r="AC212" i="2"/>
  <c r="AD212" i="2" s="1"/>
  <c r="Z212" i="2"/>
  <c r="N212" i="4" s="1"/>
  <c r="W212" i="2"/>
  <c r="M212" i="4" s="1"/>
  <c r="R212" i="2"/>
  <c r="K212" i="4" s="1"/>
  <c r="K212" i="2"/>
  <c r="G212" i="4" s="1"/>
  <c r="AC211" i="2"/>
  <c r="AD211" i="2" s="1"/>
  <c r="Z211" i="2"/>
  <c r="N211" i="4" s="1"/>
  <c r="W211" i="2"/>
  <c r="M211" i="4" s="1"/>
  <c r="K211" i="2"/>
  <c r="G211" i="4" s="1"/>
  <c r="AC210" i="2"/>
  <c r="AD210" i="2" s="1"/>
  <c r="Z210" i="2"/>
  <c r="N210" i="4" s="1"/>
  <c r="W210" i="2"/>
  <c r="M210" i="4" s="1"/>
  <c r="R210" i="2"/>
  <c r="R192" i="2" s="1"/>
  <c r="K192" i="4" s="1"/>
  <c r="K210" i="2"/>
  <c r="G210" i="4" s="1"/>
  <c r="AC209" i="2"/>
  <c r="Z209" i="2"/>
  <c r="N209" i="4" s="1"/>
  <c r="W209" i="2"/>
  <c r="M209" i="4" s="1"/>
  <c r="R209" i="2"/>
  <c r="K209" i="4" s="1"/>
  <c r="K209" i="2"/>
  <c r="G209" i="4" s="1"/>
  <c r="AC208" i="2"/>
  <c r="AD208" i="2" s="1"/>
  <c r="Z208" i="2"/>
  <c r="N208" i="4" s="1"/>
  <c r="W208" i="2"/>
  <c r="M208" i="4" s="1"/>
  <c r="R208" i="2"/>
  <c r="K208" i="4" s="1"/>
  <c r="K208" i="2"/>
  <c r="G208" i="4" s="1"/>
  <c r="AC207" i="2"/>
  <c r="AD207" i="2" s="1"/>
  <c r="Z207" i="2"/>
  <c r="N207" i="4" s="1"/>
  <c r="W207" i="2"/>
  <c r="M207" i="4" s="1"/>
  <c r="R207" i="2"/>
  <c r="K207" i="4" s="1"/>
  <c r="K207" i="2"/>
  <c r="G207" i="4" s="1"/>
  <c r="AC206" i="2"/>
  <c r="AD206" i="2" s="1"/>
  <c r="Z206" i="2"/>
  <c r="N206" i="4" s="1"/>
  <c r="W206" i="2"/>
  <c r="M206" i="4" s="1"/>
  <c r="R206" i="2"/>
  <c r="K206" i="4" s="1"/>
  <c r="K206" i="2"/>
  <c r="G206" i="4" s="1"/>
  <c r="AC205" i="2"/>
  <c r="AD205" i="2" s="1"/>
  <c r="Z205" i="2"/>
  <c r="N205" i="4" s="1"/>
  <c r="W205" i="2"/>
  <c r="M205" i="4" s="1"/>
  <c r="R205" i="2"/>
  <c r="K205" i="4" s="1"/>
  <c r="K205" i="2"/>
  <c r="G205" i="4" s="1"/>
  <c r="AC204" i="2"/>
  <c r="AD204" i="2" s="1"/>
  <c r="Z204" i="2"/>
  <c r="N204" i="4" s="1"/>
  <c r="W204" i="2"/>
  <c r="M204" i="4" s="1"/>
  <c r="R204" i="2"/>
  <c r="K204" i="4" s="1"/>
  <c r="K204" i="2"/>
  <c r="G204" i="4" s="1"/>
  <c r="AC203" i="2"/>
  <c r="AD203" i="2" s="1"/>
  <c r="Z203" i="2"/>
  <c r="N203" i="4" s="1"/>
  <c r="W203" i="2"/>
  <c r="M203" i="4" s="1"/>
  <c r="R203" i="2"/>
  <c r="K203" i="4" s="1"/>
  <c r="K203" i="2"/>
  <c r="G203" i="4" s="1"/>
  <c r="AC202" i="2"/>
  <c r="AD202" i="2" s="1"/>
  <c r="Z202" i="2"/>
  <c r="N202" i="4" s="1"/>
  <c r="W202" i="2"/>
  <c r="M202" i="4" s="1"/>
  <c r="R202" i="2"/>
  <c r="K202" i="4" s="1"/>
  <c r="K202" i="2"/>
  <c r="G202" i="4" s="1"/>
  <c r="AC201" i="2"/>
  <c r="Z201" i="2"/>
  <c r="N201" i="4" s="1"/>
  <c r="W201" i="2"/>
  <c r="M201" i="4" s="1"/>
  <c r="K201" i="2"/>
  <c r="G201" i="4" s="1"/>
  <c r="AC200" i="2"/>
  <c r="AD200" i="2" s="1"/>
  <c r="Z200" i="2"/>
  <c r="N200" i="4" s="1"/>
  <c r="W200" i="2"/>
  <c r="M200" i="4" s="1"/>
  <c r="R200" i="2"/>
  <c r="K200" i="4" s="1"/>
  <c r="K200" i="2"/>
  <c r="G200" i="4" s="1"/>
  <c r="AC199" i="2"/>
  <c r="AD199" i="2" s="1"/>
  <c r="Z199" i="2"/>
  <c r="N199" i="4" s="1"/>
  <c r="W199" i="2"/>
  <c r="M199" i="4" s="1"/>
  <c r="R199" i="2"/>
  <c r="K199" i="4" s="1"/>
  <c r="K199" i="2"/>
  <c r="G199" i="4" s="1"/>
  <c r="AC198" i="2"/>
  <c r="AD198" i="2" s="1"/>
  <c r="Z198" i="2"/>
  <c r="N198" i="4" s="1"/>
  <c r="W198" i="2"/>
  <c r="M198" i="4" s="1"/>
  <c r="R198" i="2"/>
  <c r="K198" i="4" s="1"/>
  <c r="K198" i="2"/>
  <c r="G198" i="4" s="1"/>
  <c r="AC197" i="2"/>
  <c r="AD197" i="2" s="1"/>
  <c r="Z197" i="2"/>
  <c r="N197" i="4" s="1"/>
  <c r="W197" i="2"/>
  <c r="M197" i="4" s="1"/>
  <c r="R197" i="2"/>
  <c r="K197" i="4" s="1"/>
  <c r="K197" i="2"/>
  <c r="G197" i="4" s="1"/>
  <c r="AC196" i="2"/>
  <c r="AD196" i="2" s="1"/>
  <c r="Z196" i="2"/>
  <c r="N196" i="4" s="1"/>
  <c r="W196" i="2"/>
  <c r="M196" i="4" s="1"/>
  <c r="R196" i="2"/>
  <c r="K196" i="4" s="1"/>
  <c r="K196" i="2"/>
  <c r="G196" i="4" s="1"/>
  <c r="AC195" i="2"/>
  <c r="AD195" i="2" s="1"/>
  <c r="Z195" i="2"/>
  <c r="N195" i="4" s="1"/>
  <c r="W195" i="2"/>
  <c r="M195" i="4" s="1"/>
  <c r="R195" i="2"/>
  <c r="K195" i="4" s="1"/>
  <c r="K195" i="2"/>
  <c r="G195" i="4" s="1"/>
  <c r="AC194" i="2"/>
  <c r="AD194" i="2" s="1"/>
  <c r="Z194" i="2"/>
  <c r="N194" i="4" s="1"/>
  <c r="W194" i="2"/>
  <c r="M194" i="4" s="1"/>
  <c r="R194" i="2"/>
  <c r="K194" i="4" s="1"/>
  <c r="K194" i="2"/>
  <c r="G194" i="4" s="1"/>
  <c r="AC193" i="2"/>
  <c r="Z193" i="2"/>
  <c r="N193" i="4" s="1"/>
  <c r="W193" i="2"/>
  <c r="M193" i="4" s="1"/>
  <c r="R193" i="2"/>
  <c r="K193" i="4" s="1"/>
  <c r="K193" i="2"/>
  <c r="G193" i="4" s="1"/>
  <c r="AC192" i="2"/>
  <c r="AD192" i="2" s="1"/>
  <c r="Z192" i="2"/>
  <c r="N192" i="4" s="1"/>
  <c r="W192" i="2"/>
  <c r="M192" i="4" s="1"/>
  <c r="K192" i="2"/>
  <c r="G192" i="4" s="1"/>
  <c r="AC191" i="2"/>
  <c r="AD191" i="2" s="1"/>
  <c r="Z191" i="2"/>
  <c r="N191" i="4" s="1"/>
  <c r="W191" i="2"/>
  <c r="M191" i="4" s="1"/>
  <c r="R191" i="2"/>
  <c r="K191" i="4" s="1"/>
  <c r="K191" i="2"/>
  <c r="G191" i="4" s="1"/>
  <c r="AC190" i="2"/>
  <c r="AD190" i="2" s="1"/>
  <c r="Z190" i="2"/>
  <c r="N190" i="4" s="1"/>
  <c r="W190" i="2"/>
  <c r="M190" i="4" s="1"/>
  <c r="R190" i="2"/>
  <c r="K190" i="4" s="1"/>
  <c r="K190" i="2"/>
  <c r="G190" i="4" s="1"/>
  <c r="AC189" i="2"/>
  <c r="AD189" i="2" s="1"/>
  <c r="Z189" i="2"/>
  <c r="N189" i="4" s="1"/>
  <c r="W189" i="2"/>
  <c r="M189" i="4" s="1"/>
  <c r="R189" i="2"/>
  <c r="K189" i="4" s="1"/>
  <c r="K189" i="2"/>
  <c r="G189" i="4" s="1"/>
  <c r="AC188" i="2"/>
  <c r="AD188" i="2" s="1"/>
  <c r="Z188" i="2"/>
  <c r="N188" i="4" s="1"/>
  <c r="W188" i="2"/>
  <c r="M188" i="4" s="1"/>
  <c r="R188" i="2"/>
  <c r="K188" i="4" s="1"/>
  <c r="K188" i="2"/>
  <c r="G188" i="4" s="1"/>
  <c r="AC187" i="2"/>
  <c r="AD187" i="2" s="1"/>
  <c r="Z187" i="2"/>
  <c r="N187" i="4" s="1"/>
  <c r="W187" i="2"/>
  <c r="M187" i="4" s="1"/>
  <c r="R187" i="2"/>
  <c r="K187" i="4" s="1"/>
  <c r="K187" i="2"/>
  <c r="G187" i="4" s="1"/>
  <c r="AC186" i="2"/>
  <c r="AD186" i="2" s="1"/>
  <c r="Z186" i="2"/>
  <c r="N186" i="4" s="1"/>
  <c r="W186" i="2"/>
  <c r="M186" i="4" s="1"/>
  <c r="R186" i="2"/>
  <c r="K186" i="4" s="1"/>
  <c r="K186" i="2"/>
  <c r="G186" i="4" s="1"/>
  <c r="AC185" i="2"/>
  <c r="Z185" i="2"/>
  <c r="N185" i="4" s="1"/>
  <c r="W185" i="2"/>
  <c r="M185" i="4" s="1"/>
  <c r="K185" i="2"/>
  <c r="G185" i="4" s="1"/>
  <c r="AC184" i="2"/>
  <c r="AD184" i="2" s="1"/>
  <c r="Z184" i="2"/>
  <c r="N184" i="4" s="1"/>
  <c r="W184" i="2"/>
  <c r="M184" i="4" s="1"/>
  <c r="R184" i="2"/>
  <c r="K184" i="4" s="1"/>
  <c r="K184" i="2"/>
  <c r="G184" i="4" s="1"/>
  <c r="AC183" i="2"/>
  <c r="AD183" i="2" s="1"/>
  <c r="Z183" i="2"/>
  <c r="N183" i="4" s="1"/>
  <c r="W183" i="2"/>
  <c r="M183" i="4" s="1"/>
  <c r="R183" i="2"/>
  <c r="K183" i="4" s="1"/>
  <c r="K183" i="2"/>
  <c r="G183" i="4" s="1"/>
  <c r="AC182" i="2"/>
  <c r="AD182" i="2" s="1"/>
  <c r="Z182" i="2"/>
  <c r="N182" i="4" s="1"/>
  <c r="W182" i="2"/>
  <c r="M182" i="4" s="1"/>
  <c r="K182" i="2"/>
  <c r="G182" i="4" s="1"/>
  <c r="AC181" i="2"/>
  <c r="AD181" i="2" s="1"/>
  <c r="Z181" i="2"/>
  <c r="N181" i="4" s="1"/>
  <c r="W181" i="2"/>
  <c r="M181" i="4" s="1"/>
  <c r="R181" i="2"/>
  <c r="K181" i="4" s="1"/>
  <c r="K181" i="2"/>
  <c r="G181" i="4" s="1"/>
  <c r="AC180" i="2"/>
  <c r="AD180" i="2" s="1"/>
  <c r="Z180" i="2"/>
  <c r="N180" i="4" s="1"/>
  <c r="W180" i="2"/>
  <c r="M180" i="4" s="1"/>
  <c r="R180" i="2"/>
  <c r="K180" i="4" s="1"/>
  <c r="K180" i="2"/>
  <c r="G180" i="4" s="1"/>
  <c r="AC179" i="2"/>
  <c r="AD179" i="2" s="1"/>
  <c r="Z179" i="2"/>
  <c r="N179" i="4" s="1"/>
  <c r="W179" i="2"/>
  <c r="M179" i="4" s="1"/>
  <c r="R179" i="2"/>
  <c r="K179" i="4" s="1"/>
  <c r="K179" i="2"/>
  <c r="G179" i="4" s="1"/>
  <c r="AC178" i="2"/>
  <c r="AD178" i="2" s="1"/>
  <c r="Z178" i="2"/>
  <c r="N178" i="4" s="1"/>
  <c r="W178" i="2"/>
  <c r="M178" i="4" s="1"/>
  <c r="K178" i="2"/>
  <c r="G178" i="4" s="1"/>
  <c r="AC177" i="2"/>
  <c r="Z177" i="2"/>
  <c r="N177" i="4" s="1"/>
  <c r="W177" i="2"/>
  <c r="M177" i="4" s="1"/>
  <c r="R177" i="2"/>
  <c r="K177" i="4" s="1"/>
  <c r="K177" i="2"/>
  <c r="G177" i="4" s="1"/>
  <c r="AC176" i="2"/>
  <c r="AD176" i="2" s="1"/>
  <c r="Z176" i="2"/>
  <c r="N176" i="4" s="1"/>
  <c r="W176" i="2"/>
  <c r="M176" i="4" s="1"/>
  <c r="K176" i="2"/>
  <c r="G176" i="4" s="1"/>
  <c r="AC175" i="2"/>
  <c r="AD175" i="2" s="1"/>
  <c r="Z175" i="2"/>
  <c r="N175" i="4" s="1"/>
  <c r="W175" i="2"/>
  <c r="M175" i="4" s="1"/>
  <c r="R175" i="2"/>
  <c r="K175" i="4" s="1"/>
  <c r="K175" i="2"/>
  <c r="G175" i="4" s="1"/>
  <c r="AC174" i="2"/>
  <c r="AD174" i="2" s="1"/>
  <c r="Z174" i="2"/>
  <c r="N174" i="4" s="1"/>
  <c r="W174" i="2"/>
  <c r="M174" i="4" s="1"/>
  <c r="R174" i="2"/>
  <c r="K174" i="4" s="1"/>
  <c r="K174" i="2"/>
  <c r="G174" i="4" s="1"/>
  <c r="AC173" i="2"/>
  <c r="AD173" i="2" s="1"/>
  <c r="Z173" i="2"/>
  <c r="N173" i="4" s="1"/>
  <c r="W173" i="2"/>
  <c r="M173" i="4" s="1"/>
  <c r="R173" i="2"/>
  <c r="K173" i="4" s="1"/>
  <c r="K173" i="2"/>
  <c r="G173" i="4" s="1"/>
  <c r="AC172" i="2"/>
  <c r="AD172" i="2" s="1"/>
  <c r="Z172" i="2"/>
  <c r="N172" i="4" s="1"/>
  <c r="W172" i="2"/>
  <c r="M172" i="4" s="1"/>
  <c r="R172" i="2"/>
  <c r="K172" i="4" s="1"/>
  <c r="K172" i="2"/>
  <c r="G172" i="4" s="1"/>
  <c r="AC171" i="2"/>
  <c r="AD171" i="2" s="1"/>
  <c r="Z171" i="2"/>
  <c r="N171" i="4" s="1"/>
  <c r="W171" i="2"/>
  <c r="M171" i="4" s="1"/>
  <c r="R171" i="2"/>
  <c r="K171" i="4" s="1"/>
  <c r="K171" i="2"/>
  <c r="G171" i="4" s="1"/>
  <c r="AC170" i="2"/>
  <c r="AD170" i="2" s="1"/>
  <c r="Z170" i="2"/>
  <c r="N170" i="4" s="1"/>
  <c r="W170" i="2"/>
  <c r="M170" i="4" s="1"/>
  <c r="K170" i="2"/>
  <c r="G170" i="4" s="1"/>
  <c r="AC169" i="2"/>
  <c r="Z169" i="2"/>
  <c r="N169" i="4" s="1"/>
  <c r="W169" i="2"/>
  <c r="M169" i="4" s="1"/>
  <c r="R169" i="2"/>
  <c r="K169" i="4" s="1"/>
  <c r="K169" i="2"/>
  <c r="G169" i="4" s="1"/>
  <c r="AC168" i="2"/>
  <c r="AD168" i="2" s="1"/>
  <c r="Z168" i="2"/>
  <c r="N168" i="4" s="1"/>
  <c r="W168" i="2"/>
  <c r="M168" i="4" s="1"/>
  <c r="R168" i="2"/>
  <c r="K168" i="4" s="1"/>
  <c r="K168" i="2"/>
  <c r="G168" i="4" s="1"/>
  <c r="AC167" i="2"/>
  <c r="AD167" i="2" s="1"/>
  <c r="Z167" i="2"/>
  <c r="N167" i="4" s="1"/>
  <c r="W167" i="2"/>
  <c r="M167" i="4" s="1"/>
  <c r="R167" i="2"/>
  <c r="K167" i="4" s="1"/>
  <c r="K167" i="2"/>
  <c r="G167" i="4" s="1"/>
  <c r="AC166" i="2"/>
  <c r="AD166" i="2" s="1"/>
  <c r="Z166" i="2"/>
  <c r="N166" i="4" s="1"/>
  <c r="W166" i="2"/>
  <c r="M166" i="4" s="1"/>
  <c r="R166" i="2"/>
  <c r="K166" i="4" s="1"/>
  <c r="K166" i="2"/>
  <c r="G166" i="4" s="1"/>
  <c r="AC165" i="2"/>
  <c r="AD165" i="2" s="1"/>
  <c r="Z165" i="2"/>
  <c r="N165" i="4" s="1"/>
  <c r="W165" i="2"/>
  <c r="M165" i="4" s="1"/>
  <c r="R165" i="2"/>
  <c r="K165" i="4" s="1"/>
  <c r="K165" i="2"/>
  <c r="G165" i="4" s="1"/>
  <c r="AC164" i="2"/>
  <c r="AD164" i="2" s="1"/>
  <c r="Z164" i="2"/>
  <c r="N164" i="4" s="1"/>
  <c r="W164" i="2"/>
  <c r="M164" i="4" s="1"/>
  <c r="R164" i="2"/>
  <c r="K164" i="4" s="1"/>
  <c r="K164" i="2"/>
  <c r="G164" i="4" s="1"/>
  <c r="AC163" i="2"/>
  <c r="AD163" i="2" s="1"/>
  <c r="Z163" i="2"/>
  <c r="N163" i="4" s="1"/>
  <c r="W163" i="2"/>
  <c r="M163" i="4" s="1"/>
  <c r="R163" i="2"/>
  <c r="K163" i="4" s="1"/>
  <c r="K163" i="2"/>
  <c r="G163" i="4" s="1"/>
  <c r="AC162" i="2"/>
  <c r="AD162" i="2" s="1"/>
  <c r="Z162" i="2"/>
  <c r="N162" i="4" s="1"/>
  <c r="W162" i="2"/>
  <c r="M162" i="4" s="1"/>
  <c r="R162" i="2"/>
  <c r="K162" i="4" s="1"/>
  <c r="K162" i="2"/>
  <c r="G162" i="4" s="1"/>
  <c r="AC161" i="2"/>
  <c r="Z161" i="2"/>
  <c r="N161" i="4" s="1"/>
  <c r="W161" i="2"/>
  <c r="M161" i="4" s="1"/>
  <c r="K161" i="2"/>
  <c r="G161" i="4" s="1"/>
  <c r="AC160" i="2"/>
  <c r="AD160" i="2" s="1"/>
  <c r="Z160" i="2"/>
  <c r="N160" i="4" s="1"/>
  <c r="W160" i="2"/>
  <c r="M160" i="4" s="1"/>
  <c r="R160" i="2"/>
  <c r="K160" i="4" s="1"/>
  <c r="K160" i="2"/>
  <c r="G160" i="4" s="1"/>
  <c r="AC159" i="2"/>
  <c r="AD159" i="2" s="1"/>
  <c r="Z159" i="2"/>
  <c r="N159" i="4" s="1"/>
  <c r="W159" i="2"/>
  <c r="M159" i="4" s="1"/>
  <c r="R159" i="2"/>
  <c r="K159" i="4" s="1"/>
  <c r="K159" i="2"/>
  <c r="G159" i="4" s="1"/>
  <c r="AC158" i="2"/>
  <c r="AD158" i="2" s="1"/>
  <c r="Z158" i="2"/>
  <c r="N158" i="4" s="1"/>
  <c r="W158" i="2"/>
  <c r="M158" i="4" s="1"/>
  <c r="R158" i="2"/>
  <c r="K158" i="4" s="1"/>
  <c r="K158" i="2"/>
  <c r="G158" i="4" s="1"/>
  <c r="AC157" i="2"/>
  <c r="AD157" i="2" s="1"/>
  <c r="Z157" i="2"/>
  <c r="N157" i="4" s="1"/>
  <c r="W157" i="2"/>
  <c r="M157" i="4" s="1"/>
  <c r="K157" i="2"/>
  <c r="G157" i="4" s="1"/>
  <c r="AC156" i="2"/>
  <c r="AD156" i="2" s="1"/>
  <c r="Z156" i="2"/>
  <c r="N156" i="4" s="1"/>
  <c r="W156" i="2"/>
  <c r="M156" i="4" s="1"/>
  <c r="R156" i="2"/>
  <c r="K156" i="4" s="1"/>
  <c r="K156" i="2"/>
  <c r="G156" i="4" s="1"/>
  <c r="AC155" i="2"/>
  <c r="AD155" i="2" s="1"/>
  <c r="Z155" i="2"/>
  <c r="N155" i="4" s="1"/>
  <c r="W155" i="2"/>
  <c r="M155" i="4" s="1"/>
  <c r="R155" i="2"/>
  <c r="K155" i="4" s="1"/>
  <c r="K155" i="2"/>
  <c r="G155" i="4" s="1"/>
  <c r="AC154" i="2"/>
  <c r="AD154" i="2" s="1"/>
  <c r="Z154" i="2"/>
  <c r="N154" i="4" s="1"/>
  <c r="W154" i="2"/>
  <c r="M154" i="4" s="1"/>
  <c r="K154" i="2"/>
  <c r="G154" i="4" s="1"/>
  <c r="AC153" i="2"/>
  <c r="Z153" i="2"/>
  <c r="N153" i="4" s="1"/>
  <c r="W153" i="2"/>
  <c r="M153" i="4" s="1"/>
  <c r="R153" i="2"/>
  <c r="K153" i="4" s="1"/>
  <c r="K153" i="2"/>
  <c r="G153" i="4" s="1"/>
  <c r="AC152" i="2"/>
  <c r="AD152" i="2" s="1"/>
  <c r="Z152" i="2"/>
  <c r="N152" i="4" s="1"/>
  <c r="W152" i="2"/>
  <c r="M152" i="4" s="1"/>
  <c r="R152" i="2"/>
  <c r="K152" i="4" s="1"/>
  <c r="K152" i="2"/>
  <c r="G152" i="4" s="1"/>
  <c r="AC151" i="2"/>
  <c r="AD151" i="2" s="1"/>
  <c r="Z151" i="2"/>
  <c r="N151" i="4" s="1"/>
  <c r="W151" i="2"/>
  <c r="M151" i="4" s="1"/>
  <c r="R151" i="2"/>
  <c r="K151" i="4" s="1"/>
  <c r="K151" i="2"/>
  <c r="G151" i="4" s="1"/>
  <c r="AC150" i="2"/>
  <c r="AD150" i="2" s="1"/>
  <c r="Z150" i="2"/>
  <c r="N150" i="4" s="1"/>
  <c r="W150" i="2"/>
  <c r="M150" i="4" s="1"/>
  <c r="R150" i="2"/>
  <c r="K150" i="4" s="1"/>
  <c r="K150" i="2"/>
  <c r="G150" i="4" s="1"/>
  <c r="AC149" i="2"/>
  <c r="AD149" i="2" s="1"/>
  <c r="Z149" i="2"/>
  <c r="N149" i="4" s="1"/>
  <c r="W149" i="2"/>
  <c r="M149" i="4" s="1"/>
  <c r="R149" i="2"/>
  <c r="K149" i="4" s="1"/>
  <c r="K149" i="2"/>
  <c r="G149" i="4" s="1"/>
  <c r="AC148" i="2"/>
  <c r="AD148" i="2" s="1"/>
  <c r="Z148" i="2"/>
  <c r="N148" i="4" s="1"/>
  <c r="W148" i="2"/>
  <c r="M148" i="4" s="1"/>
  <c r="R148" i="2"/>
  <c r="R130" i="2" s="1"/>
  <c r="K130" i="4" s="1"/>
  <c r="K148" i="2"/>
  <c r="G148" i="4" s="1"/>
  <c r="AC147" i="2"/>
  <c r="AD147" i="2" s="1"/>
  <c r="Z147" i="2"/>
  <c r="N147" i="4" s="1"/>
  <c r="W147" i="2"/>
  <c r="M147" i="4" s="1"/>
  <c r="R147" i="2"/>
  <c r="K147" i="4" s="1"/>
  <c r="K147" i="2"/>
  <c r="G147" i="4" s="1"/>
  <c r="AC146" i="2"/>
  <c r="AD146" i="2" s="1"/>
  <c r="Z146" i="2"/>
  <c r="N146" i="4" s="1"/>
  <c r="W146" i="2"/>
  <c r="M146" i="4" s="1"/>
  <c r="R146" i="2"/>
  <c r="K146" i="4" s="1"/>
  <c r="K146" i="2"/>
  <c r="G146" i="4" s="1"/>
  <c r="AC145" i="2"/>
  <c r="Z145" i="2"/>
  <c r="N145" i="4" s="1"/>
  <c r="W145" i="2"/>
  <c r="M145" i="4" s="1"/>
  <c r="K145" i="2"/>
  <c r="G145" i="4" s="1"/>
  <c r="AC144" i="2"/>
  <c r="AD144" i="2" s="1"/>
  <c r="Z144" i="2"/>
  <c r="N144" i="4" s="1"/>
  <c r="W144" i="2"/>
  <c r="M144" i="4" s="1"/>
  <c r="R144" i="2"/>
  <c r="K144" i="4" s="1"/>
  <c r="K144" i="2"/>
  <c r="G144" i="4" s="1"/>
  <c r="AC143" i="2"/>
  <c r="AD143" i="2" s="1"/>
  <c r="Z143" i="2"/>
  <c r="N143" i="4" s="1"/>
  <c r="W143" i="2"/>
  <c r="M143" i="4" s="1"/>
  <c r="R143" i="2"/>
  <c r="K143" i="4" s="1"/>
  <c r="K143" i="2"/>
  <c r="G143" i="4" s="1"/>
  <c r="AC142" i="2"/>
  <c r="AD142" i="2" s="1"/>
  <c r="Z142" i="2"/>
  <c r="N142" i="4" s="1"/>
  <c r="W142" i="2"/>
  <c r="M142" i="4" s="1"/>
  <c r="R142" i="2"/>
  <c r="K142" i="4" s="1"/>
  <c r="K142" i="2"/>
  <c r="G142" i="4" s="1"/>
  <c r="AC141" i="2"/>
  <c r="AD141" i="2" s="1"/>
  <c r="Z141" i="2"/>
  <c r="N141" i="4" s="1"/>
  <c r="W141" i="2"/>
  <c r="M141" i="4" s="1"/>
  <c r="R141" i="2"/>
  <c r="K141" i="4" s="1"/>
  <c r="K141" i="2"/>
  <c r="G141" i="4" s="1"/>
  <c r="AC140" i="2"/>
  <c r="AD140" i="2" s="1"/>
  <c r="Z140" i="2"/>
  <c r="N140" i="4" s="1"/>
  <c r="W140" i="2"/>
  <c r="M140" i="4" s="1"/>
  <c r="R140" i="2"/>
  <c r="K140" i="4" s="1"/>
  <c r="K140" i="2"/>
  <c r="G140" i="4" s="1"/>
  <c r="AC139" i="2"/>
  <c r="AD139" i="2" s="1"/>
  <c r="Z139" i="2"/>
  <c r="N139" i="4" s="1"/>
  <c r="W139" i="2"/>
  <c r="M139" i="4" s="1"/>
  <c r="R139" i="2"/>
  <c r="K139" i="4" s="1"/>
  <c r="K139" i="2"/>
  <c r="G139" i="4" s="1"/>
  <c r="AC138" i="2"/>
  <c r="AD138" i="2" s="1"/>
  <c r="Z138" i="2"/>
  <c r="N138" i="4" s="1"/>
  <c r="W138" i="2"/>
  <c r="M138" i="4" s="1"/>
  <c r="R138" i="2"/>
  <c r="R120" i="2" s="1"/>
  <c r="K120" i="4" s="1"/>
  <c r="K138" i="2"/>
  <c r="G138" i="4" s="1"/>
  <c r="AC137" i="2"/>
  <c r="Z137" i="2"/>
  <c r="N137" i="4" s="1"/>
  <c r="W137" i="2"/>
  <c r="M137" i="4" s="1"/>
  <c r="R137" i="2"/>
  <c r="K137" i="4" s="1"/>
  <c r="K137" i="2"/>
  <c r="G137" i="4" s="1"/>
  <c r="AC136" i="2"/>
  <c r="AD136" i="2" s="1"/>
  <c r="Z136" i="2"/>
  <c r="N136" i="4" s="1"/>
  <c r="W136" i="2"/>
  <c r="M136" i="4" s="1"/>
  <c r="R136" i="2"/>
  <c r="K136" i="4" s="1"/>
  <c r="K136" i="2"/>
  <c r="G136" i="4" s="1"/>
  <c r="AC135" i="2"/>
  <c r="AD135" i="2" s="1"/>
  <c r="Z135" i="2"/>
  <c r="N135" i="4" s="1"/>
  <c r="W135" i="2"/>
  <c r="M135" i="4" s="1"/>
  <c r="R135" i="2"/>
  <c r="K135" i="4" s="1"/>
  <c r="K135" i="2"/>
  <c r="G135" i="4" s="1"/>
  <c r="AC134" i="2"/>
  <c r="AD134" i="2" s="1"/>
  <c r="Z134" i="2"/>
  <c r="N134" i="4" s="1"/>
  <c r="W134" i="2"/>
  <c r="M134" i="4" s="1"/>
  <c r="R134" i="2"/>
  <c r="K134" i="4" s="1"/>
  <c r="K134" i="2"/>
  <c r="G134" i="4" s="1"/>
  <c r="AC133" i="2"/>
  <c r="AD133" i="2" s="1"/>
  <c r="Z133" i="2"/>
  <c r="N133" i="4" s="1"/>
  <c r="W133" i="2"/>
  <c r="M133" i="4" s="1"/>
  <c r="K133" i="2"/>
  <c r="G133" i="4" s="1"/>
  <c r="AC132" i="2"/>
  <c r="AD132" i="2" s="1"/>
  <c r="Z132" i="2"/>
  <c r="N132" i="4" s="1"/>
  <c r="W132" i="2"/>
  <c r="M132" i="4" s="1"/>
  <c r="R132" i="2"/>
  <c r="K132" i="4" s="1"/>
  <c r="K132" i="2"/>
  <c r="G132" i="4" s="1"/>
  <c r="AC131" i="2"/>
  <c r="AD131" i="2" s="1"/>
  <c r="Z131" i="2"/>
  <c r="N131" i="4" s="1"/>
  <c r="W131" i="2"/>
  <c r="M131" i="4" s="1"/>
  <c r="R131" i="2"/>
  <c r="K131" i="4" s="1"/>
  <c r="K131" i="2"/>
  <c r="G131" i="4" s="1"/>
  <c r="AC130" i="2"/>
  <c r="AD130" i="2" s="1"/>
  <c r="Z130" i="2"/>
  <c r="N130" i="4" s="1"/>
  <c r="W130" i="2"/>
  <c r="M130" i="4" s="1"/>
  <c r="K130" i="2"/>
  <c r="G130" i="4" s="1"/>
  <c r="AC129" i="2"/>
  <c r="Z129" i="2"/>
  <c r="N129" i="4" s="1"/>
  <c r="W129" i="2"/>
  <c r="M129" i="4" s="1"/>
  <c r="R129" i="2"/>
  <c r="K129" i="4" s="1"/>
  <c r="K129" i="2"/>
  <c r="G129" i="4" s="1"/>
  <c r="AC128" i="2"/>
  <c r="AD128" i="2" s="1"/>
  <c r="Z128" i="2"/>
  <c r="N128" i="4" s="1"/>
  <c r="W128" i="2"/>
  <c r="M128" i="4" s="1"/>
  <c r="R128" i="2"/>
  <c r="K128" i="4" s="1"/>
  <c r="K128" i="2"/>
  <c r="G128" i="4" s="1"/>
  <c r="AC127" i="2"/>
  <c r="AD127" i="2" s="1"/>
  <c r="Z127" i="2"/>
  <c r="N127" i="4" s="1"/>
  <c r="W127" i="2"/>
  <c r="M127" i="4" s="1"/>
  <c r="R127" i="2"/>
  <c r="K127" i="4" s="1"/>
  <c r="K127" i="2"/>
  <c r="G127" i="4" s="1"/>
  <c r="AC126" i="2"/>
  <c r="AD126" i="2" s="1"/>
  <c r="Z126" i="2"/>
  <c r="N126" i="4" s="1"/>
  <c r="W126" i="2"/>
  <c r="M126" i="4" s="1"/>
  <c r="R126" i="2"/>
  <c r="K126" i="4" s="1"/>
  <c r="K126" i="2"/>
  <c r="G126" i="4" s="1"/>
  <c r="AC125" i="2"/>
  <c r="AD125" i="2" s="1"/>
  <c r="Z125" i="2"/>
  <c r="N125" i="4" s="1"/>
  <c r="W125" i="2"/>
  <c r="M125" i="4" s="1"/>
  <c r="R125" i="2"/>
  <c r="K125" i="4" s="1"/>
  <c r="K125" i="2"/>
  <c r="G125" i="4" s="1"/>
  <c r="AC124" i="2"/>
  <c r="AD124" i="2" s="1"/>
  <c r="Z124" i="2"/>
  <c r="N124" i="4" s="1"/>
  <c r="W124" i="2"/>
  <c r="M124" i="4" s="1"/>
  <c r="K124" i="2"/>
  <c r="G124" i="4" s="1"/>
  <c r="AC123" i="2"/>
  <c r="AD123" i="2" s="1"/>
  <c r="Z123" i="2"/>
  <c r="N123" i="4" s="1"/>
  <c r="W123" i="2"/>
  <c r="M123" i="4" s="1"/>
  <c r="R123" i="2"/>
  <c r="K123" i="4" s="1"/>
  <c r="K123" i="2"/>
  <c r="G123" i="4" s="1"/>
  <c r="AC122" i="2"/>
  <c r="AD122" i="2" s="1"/>
  <c r="Z122" i="2"/>
  <c r="N122" i="4" s="1"/>
  <c r="W122" i="2"/>
  <c r="M122" i="4" s="1"/>
  <c r="R122" i="2"/>
  <c r="K122" i="4" s="1"/>
  <c r="K122" i="2"/>
  <c r="G122" i="4" s="1"/>
  <c r="AC121" i="2"/>
  <c r="Z121" i="2"/>
  <c r="N121" i="4" s="1"/>
  <c r="W121" i="2"/>
  <c r="M121" i="4" s="1"/>
  <c r="R121" i="2"/>
  <c r="K121" i="4" s="1"/>
  <c r="K121" i="2"/>
  <c r="G121" i="4" s="1"/>
  <c r="AC120" i="2"/>
  <c r="AD120" i="2" s="1"/>
  <c r="Z120" i="2"/>
  <c r="N120" i="4" s="1"/>
  <c r="W120" i="2"/>
  <c r="M120" i="4" s="1"/>
  <c r="K120" i="2"/>
  <c r="G120" i="4" s="1"/>
  <c r="AC119" i="2"/>
  <c r="AD119" i="2" s="1"/>
  <c r="Z119" i="2"/>
  <c r="N119" i="4" s="1"/>
  <c r="W119" i="2"/>
  <c r="M119" i="4" s="1"/>
  <c r="R119" i="2"/>
  <c r="K119" i="4" s="1"/>
  <c r="K119" i="2"/>
  <c r="G119" i="4" s="1"/>
  <c r="AC118" i="2"/>
  <c r="AD118" i="2" s="1"/>
  <c r="Z118" i="2"/>
  <c r="N118" i="4" s="1"/>
  <c r="W118" i="2"/>
  <c r="M118" i="4" s="1"/>
  <c r="R118" i="2"/>
  <c r="K118" i="4" s="1"/>
  <c r="K118" i="2"/>
  <c r="G118" i="4" s="1"/>
  <c r="AC117" i="2"/>
  <c r="AD117" i="2" s="1"/>
  <c r="Z117" i="2"/>
  <c r="N117" i="4" s="1"/>
  <c r="W117" i="2"/>
  <c r="M117" i="4" s="1"/>
  <c r="R117" i="2"/>
  <c r="K117" i="4" s="1"/>
  <c r="K117" i="2"/>
  <c r="G117" i="4" s="1"/>
  <c r="AC116" i="2"/>
  <c r="AD116" i="2" s="1"/>
  <c r="Z116" i="2"/>
  <c r="N116" i="4" s="1"/>
  <c r="W116" i="2"/>
  <c r="M116" i="4" s="1"/>
  <c r="K116" i="2"/>
  <c r="G116" i="4" s="1"/>
  <c r="AC115" i="2"/>
  <c r="AD115" i="2" s="1"/>
  <c r="Z115" i="2"/>
  <c r="N115" i="4" s="1"/>
  <c r="W115" i="2"/>
  <c r="M115" i="4" s="1"/>
  <c r="R115" i="2"/>
  <c r="K115" i="4" s="1"/>
  <c r="K115" i="2"/>
  <c r="G115" i="4" s="1"/>
  <c r="AC114" i="2"/>
  <c r="AD114" i="2" s="1"/>
  <c r="Z114" i="2"/>
  <c r="N114" i="4" s="1"/>
  <c r="W114" i="2"/>
  <c r="M114" i="4" s="1"/>
  <c r="R114" i="2"/>
  <c r="K114" i="4" s="1"/>
  <c r="K114" i="2"/>
  <c r="G114" i="4" s="1"/>
  <c r="AC113" i="2"/>
  <c r="Z113" i="2"/>
  <c r="N113" i="4" s="1"/>
  <c r="W113" i="2"/>
  <c r="M113" i="4" s="1"/>
  <c r="K113" i="2"/>
  <c r="G113" i="4" s="1"/>
  <c r="AC112" i="2"/>
  <c r="AD112" i="2" s="1"/>
  <c r="Z112" i="2"/>
  <c r="W112" i="2"/>
  <c r="M112" i="4" s="1"/>
  <c r="R112" i="2"/>
  <c r="K112" i="4" s="1"/>
  <c r="K112" i="2"/>
  <c r="G112" i="4" s="1"/>
  <c r="AC111" i="2"/>
  <c r="AD111" i="2" s="1"/>
  <c r="Z111" i="2"/>
  <c r="N111" i="4" s="1"/>
  <c r="W111" i="2"/>
  <c r="M111" i="4" s="1"/>
  <c r="R111" i="2"/>
  <c r="K111" i="4" s="1"/>
  <c r="K111" i="2"/>
  <c r="G111" i="4" s="1"/>
  <c r="AC110" i="2"/>
  <c r="AD110" i="2" s="1"/>
  <c r="Z110" i="2"/>
  <c r="N110" i="4" s="1"/>
  <c r="W110" i="2"/>
  <c r="M110" i="4" s="1"/>
  <c r="R110" i="2"/>
  <c r="K110" i="4" s="1"/>
  <c r="K110" i="2"/>
  <c r="G110" i="4" s="1"/>
  <c r="AC109" i="2"/>
  <c r="AD109" i="2" s="1"/>
  <c r="Z109" i="2"/>
  <c r="N109" i="4" s="1"/>
  <c r="W109" i="2"/>
  <c r="M109" i="4" s="1"/>
  <c r="R109" i="2"/>
  <c r="K109" i="4" s="1"/>
  <c r="K109" i="2"/>
  <c r="G109" i="4" s="1"/>
  <c r="AC108" i="2"/>
  <c r="AD108" i="2" s="1"/>
  <c r="Z108" i="2"/>
  <c r="N108" i="4" s="1"/>
  <c r="W108" i="2"/>
  <c r="M108" i="4" s="1"/>
  <c r="R108" i="2"/>
  <c r="K108" i="4" s="1"/>
  <c r="K108" i="2"/>
  <c r="G108" i="4" s="1"/>
  <c r="AC107" i="2"/>
  <c r="AD107" i="2" s="1"/>
  <c r="Z107" i="2"/>
  <c r="N107" i="4" s="1"/>
  <c r="W107" i="2"/>
  <c r="M107" i="4" s="1"/>
  <c r="R107" i="2"/>
  <c r="K107" i="4" s="1"/>
  <c r="K107" i="2"/>
  <c r="G107" i="4" s="1"/>
  <c r="AC106" i="2"/>
  <c r="AD106" i="2" s="1"/>
  <c r="Z106" i="2"/>
  <c r="N106" i="4" s="1"/>
  <c r="W106" i="2"/>
  <c r="M106" i="4" s="1"/>
  <c r="R106" i="2"/>
  <c r="K106" i="4" s="1"/>
  <c r="K106" i="2"/>
  <c r="G106" i="4" s="1"/>
  <c r="AC105" i="2"/>
  <c r="Z105" i="2"/>
  <c r="N105" i="4" s="1"/>
  <c r="W105" i="2"/>
  <c r="M105" i="4" s="1"/>
  <c r="R105" i="2"/>
  <c r="K105" i="4" s="1"/>
  <c r="K105" i="2"/>
  <c r="G105" i="4" s="1"/>
  <c r="AC104" i="2"/>
  <c r="AD104" i="2" s="1"/>
  <c r="Z104" i="2"/>
  <c r="N104" i="4" s="1"/>
  <c r="W104" i="2"/>
  <c r="M104" i="4" s="1"/>
  <c r="R104" i="2"/>
  <c r="K104" i="4" s="1"/>
  <c r="K104" i="2"/>
  <c r="G104" i="4" s="1"/>
  <c r="AC103" i="2"/>
  <c r="AD103" i="2" s="1"/>
  <c r="Z103" i="2"/>
  <c r="N103" i="4" s="1"/>
  <c r="W103" i="2"/>
  <c r="M103" i="4" s="1"/>
  <c r="R103" i="2"/>
  <c r="K103" i="4" s="1"/>
  <c r="K103" i="2"/>
  <c r="G103" i="4" s="1"/>
  <c r="AC102" i="2"/>
  <c r="AD102" i="2" s="1"/>
  <c r="Z102" i="2"/>
  <c r="N102" i="4" s="1"/>
  <c r="W102" i="2"/>
  <c r="M102" i="4" s="1"/>
  <c r="K102" i="2"/>
  <c r="G102" i="4" s="1"/>
  <c r="AC101" i="2"/>
  <c r="AD101" i="2" s="1"/>
  <c r="Z101" i="2"/>
  <c r="N101" i="4" s="1"/>
  <c r="W101" i="2"/>
  <c r="M101" i="4" s="1"/>
  <c r="K101" i="2"/>
  <c r="G101" i="4" s="1"/>
  <c r="AC100" i="2"/>
  <c r="AD100" i="2" s="1"/>
  <c r="Z100" i="2"/>
  <c r="N100" i="4" s="1"/>
  <c r="W100" i="2"/>
  <c r="M100" i="4" s="1"/>
  <c r="R100" i="2"/>
  <c r="K100" i="4" s="1"/>
  <c r="K100" i="2"/>
  <c r="G100" i="4" s="1"/>
  <c r="AC99" i="2"/>
  <c r="AD99" i="2" s="1"/>
  <c r="Z99" i="2"/>
  <c r="N99" i="4" s="1"/>
  <c r="W99" i="2"/>
  <c r="M99" i="4" s="1"/>
  <c r="R99" i="2"/>
  <c r="K99" i="4" s="1"/>
  <c r="K99" i="2"/>
  <c r="G99" i="4" s="1"/>
  <c r="AC98" i="2"/>
  <c r="AD98" i="2" s="1"/>
  <c r="Z98" i="2"/>
  <c r="N98" i="4" s="1"/>
  <c r="W98" i="2"/>
  <c r="M98" i="4" s="1"/>
  <c r="R98" i="2"/>
  <c r="K98" i="4" s="1"/>
  <c r="K98" i="2"/>
  <c r="G98" i="4" s="1"/>
  <c r="AC97" i="2"/>
  <c r="Z97" i="2"/>
  <c r="N97" i="4" s="1"/>
  <c r="W97" i="2"/>
  <c r="M97" i="4" s="1"/>
  <c r="R97" i="2"/>
  <c r="K97" i="4" s="1"/>
  <c r="K97" i="2"/>
  <c r="G97" i="4" s="1"/>
  <c r="AC96" i="2"/>
  <c r="AD96" i="2" s="1"/>
  <c r="Z96" i="2"/>
  <c r="N96" i="4" s="1"/>
  <c r="W96" i="2"/>
  <c r="M96" i="4" s="1"/>
  <c r="R96" i="2"/>
  <c r="K96" i="4" s="1"/>
  <c r="K96" i="2"/>
  <c r="G96" i="4" s="1"/>
  <c r="AC95" i="2"/>
  <c r="AD95" i="2" s="1"/>
  <c r="Z95" i="2"/>
  <c r="N95" i="4" s="1"/>
  <c r="W95" i="2"/>
  <c r="M95" i="4" s="1"/>
  <c r="R95" i="2"/>
  <c r="K95" i="4" s="1"/>
  <c r="K95" i="2"/>
  <c r="G95" i="4" s="1"/>
  <c r="AC94" i="2"/>
  <c r="AD94" i="2" s="1"/>
  <c r="Z94" i="2"/>
  <c r="N94" i="4" s="1"/>
  <c r="W94" i="2"/>
  <c r="M94" i="4" s="1"/>
  <c r="R94" i="2"/>
  <c r="K94" i="4" s="1"/>
  <c r="K94" i="2"/>
  <c r="G94" i="4" s="1"/>
  <c r="AC93" i="2"/>
  <c r="AD93" i="2" s="1"/>
  <c r="Z93" i="2"/>
  <c r="N93" i="4" s="1"/>
  <c r="W93" i="2"/>
  <c r="M93" i="4" s="1"/>
  <c r="R93" i="2"/>
  <c r="K93" i="4" s="1"/>
  <c r="K93" i="2"/>
  <c r="G93" i="4" s="1"/>
  <c r="AC92" i="2"/>
  <c r="AD92" i="2" s="1"/>
  <c r="Z92" i="2"/>
  <c r="N92" i="4" s="1"/>
  <c r="W92" i="2"/>
  <c r="M92" i="4" s="1"/>
  <c r="R92" i="2"/>
  <c r="K92" i="4" s="1"/>
  <c r="K92" i="2"/>
  <c r="G92" i="4" s="1"/>
  <c r="AC91" i="2"/>
  <c r="AD91" i="2" s="1"/>
  <c r="Z91" i="2"/>
  <c r="N91" i="4" s="1"/>
  <c r="W91" i="2"/>
  <c r="M91" i="4" s="1"/>
  <c r="R91" i="2"/>
  <c r="K91" i="4" s="1"/>
  <c r="K91" i="2"/>
  <c r="G91" i="4" s="1"/>
  <c r="AC90" i="2"/>
  <c r="AD90" i="2" s="1"/>
  <c r="Z90" i="2"/>
  <c r="N90" i="4" s="1"/>
  <c r="W90" i="2"/>
  <c r="M90" i="4" s="1"/>
  <c r="K90" i="2"/>
  <c r="G90" i="4" s="1"/>
  <c r="AC89" i="2"/>
  <c r="AD89" i="2" s="1"/>
  <c r="Z89" i="2"/>
  <c r="N89" i="4" s="1"/>
  <c r="W89" i="2"/>
  <c r="M89" i="4" s="1"/>
  <c r="K89" i="2"/>
  <c r="G89" i="4" s="1"/>
  <c r="AC88" i="2"/>
  <c r="AD88" i="2" s="1"/>
  <c r="Z88" i="2"/>
  <c r="N88" i="4" s="1"/>
  <c r="W88" i="2"/>
  <c r="M88" i="4" s="1"/>
  <c r="R88" i="2"/>
  <c r="K88" i="4" s="1"/>
  <c r="K88" i="2"/>
  <c r="G88" i="4" s="1"/>
  <c r="AC87" i="2"/>
  <c r="AD87" i="2" s="1"/>
  <c r="Z87" i="2"/>
  <c r="N87" i="4" s="1"/>
  <c r="W87" i="2"/>
  <c r="M87" i="4" s="1"/>
  <c r="R87" i="2"/>
  <c r="K87" i="4" s="1"/>
  <c r="K87" i="2"/>
  <c r="G87" i="4" s="1"/>
  <c r="AC86" i="2"/>
  <c r="AD86" i="2" s="1"/>
  <c r="Z86" i="2"/>
  <c r="N86" i="4" s="1"/>
  <c r="W86" i="2"/>
  <c r="M86" i="4" s="1"/>
  <c r="R86" i="2"/>
  <c r="K86" i="4" s="1"/>
  <c r="K86" i="2"/>
  <c r="G86" i="4" s="1"/>
  <c r="AC85" i="2"/>
  <c r="AD85" i="2" s="1"/>
  <c r="Z85" i="2"/>
  <c r="N85" i="4" s="1"/>
  <c r="W85" i="2"/>
  <c r="M85" i="4" s="1"/>
  <c r="R85" i="2"/>
  <c r="K85" i="4" s="1"/>
  <c r="K85" i="2"/>
  <c r="G85" i="4" s="1"/>
  <c r="AC84" i="2"/>
  <c r="AD84" i="2" s="1"/>
  <c r="Z84" i="2"/>
  <c r="N84" i="4" s="1"/>
  <c r="W84" i="2"/>
  <c r="M84" i="4" s="1"/>
  <c r="R84" i="2"/>
  <c r="K84" i="4" s="1"/>
  <c r="K84" i="2"/>
  <c r="G84" i="4" s="1"/>
  <c r="AC83" i="2"/>
  <c r="AD83" i="2" s="1"/>
  <c r="Z83" i="2"/>
  <c r="N83" i="4" s="1"/>
  <c r="W83" i="2"/>
  <c r="M83" i="4" s="1"/>
  <c r="R83" i="2"/>
  <c r="R65" i="2" s="1"/>
  <c r="K65" i="4" s="1"/>
  <c r="K83" i="2"/>
  <c r="G83" i="4" s="1"/>
  <c r="AC82" i="2"/>
  <c r="AD82" i="2" s="1"/>
  <c r="Z82" i="2"/>
  <c r="N82" i="4" s="1"/>
  <c r="W82" i="2"/>
  <c r="M82" i="4" s="1"/>
  <c r="R82" i="2"/>
  <c r="K82" i="4" s="1"/>
  <c r="K82" i="2"/>
  <c r="G82" i="4" s="1"/>
  <c r="AC81" i="2"/>
  <c r="Z81" i="2"/>
  <c r="N81" i="4" s="1"/>
  <c r="W81" i="2"/>
  <c r="M81" i="4" s="1"/>
  <c r="R81" i="2"/>
  <c r="K81" i="4" s="1"/>
  <c r="K81" i="2"/>
  <c r="G81" i="4" s="1"/>
  <c r="AC80" i="2"/>
  <c r="AD80" i="2" s="1"/>
  <c r="Z80" i="2"/>
  <c r="N80" i="4" s="1"/>
  <c r="W80" i="2"/>
  <c r="M80" i="4" s="1"/>
  <c r="R80" i="2"/>
  <c r="K80" i="4" s="1"/>
  <c r="K80" i="2"/>
  <c r="G80" i="4" s="1"/>
  <c r="AC79" i="2"/>
  <c r="AD79" i="2" s="1"/>
  <c r="Z79" i="2"/>
  <c r="N79" i="4" s="1"/>
  <c r="W79" i="2"/>
  <c r="M79" i="4" s="1"/>
  <c r="R79" i="2"/>
  <c r="K79" i="4" s="1"/>
  <c r="K79" i="2"/>
  <c r="G79" i="4" s="1"/>
  <c r="AC78" i="2"/>
  <c r="AD78" i="2" s="1"/>
  <c r="Z78" i="2"/>
  <c r="N78" i="4" s="1"/>
  <c r="W78" i="2"/>
  <c r="M78" i="4" s="1"/>
  <c r="K78" i="2"/>
  <c r="G78" i="4" s="1"/>
  <c r="AC77" i="2"/>
  <c r="AD77" i="2" s="1"/>
  <c r="Z77" i="2"/>
  <c r="N77" i="4" s="1"/>
  <c r="W77" i="2"/>
  <c r="M77" i="4" s="1"/>
  <c r="R77" i="2"/>
  <c r="K77" i="4" s="1"/>
  <c r="K77" i="2"/>
  <c r="G77" i="4" s="1"/>
  <c r="AC76" i="2"/>
  <c r="AD76" i="2" s="1"/>
  <c r="Z76" i="2"/>
  <c r="N76" i="4" s="1"/>
  <c r="W76" i="2"/>
  <c r="M76" i="4" s="1"/>
  <c r="R76" i="2"/>
  <c r="K76" i="4" s="1"/>
  <c r="K76" i="2"/>
  <c r="G76" i="4" s="1"/>
  <c r="AC75" i="2"/>
  <c r="AD75" i="2" s="1"/>
  <c r="Z75" i="2"/>
  <c r="N75" i="4" s="1"/>
  <c r="W75" i="2"/>
  <c r="M75" i="4" s="1"/>
  <c r="K75" i="2"/>
  <c r="G75" i="4" s="1"/>
  <c r="AC74" i="2"/>
  <c r="AD74" i="2" s="1"/>
  <c r="Z74" i="2"/>
  <c r="N74" i="4" s="1"/>
  <c r="W74" i="2"/>
  <c r="M74" i="4" s="1"/>
  <c r="R74" i="2"/>
  <c r="K74" i="4" s="1"/>
  <c r="K74" i="2"/>
  <c r="G74" i="4" s="1"/>
  <c r="AC73" i="2"/>
  <c r="Z73" i="2"/>
  <c r="N73" i="4" s="1"/>
  <c r="W73" i="2"/>
  <c r="M73" i="4" s="1"/>
  <c r="R73" i="2"/>
  <c r="K73" i="4" s="1"/>
  <c r="K73" i="2"/>
  <c r="G73" i="4" s="1"/>
  <c r="AC72" i="2"/>
  <c r="AD72" i="2" s="1"/>
  <c r="Z72" i="2"/>
  <c r="N72" i="4" s="1"/>
  <c r="W72" i="2"/>
  <c r="M72" i="4" s="1"/>
  <c r="K72" i="2"/>
  <c r="G72" i="4" s="1"/>
  <c r="AC71" i="2"/>
  <c r="AD71" i="2" s="1"/>
  <c r="Z71" i="2"/>
  <c r="N71" i="4" s="1"/>
  <c r="W71" i="2"/>
  <c r="M71" i="4" s="1"/>
  <c r="R71" i="2"/>
  <c r="K71" i="4" s="1"/>
  <c r="K71" i="2"/>
  <c r="G71" i="4" s="1"/>
  <c r="AC70" i="2"/>
  <c r="AD70" i="2" s="1"/>
  <c r="Z70" i="2"/>
  <c r="N70" i="4" s="1"/>
  <c r="W70" i="2"/>
  <c r="M70" i="4" s="1"/>
  <c r="R70" i="2"/>
  <c r="K70" i="4" s="1"/>
  <c r="K70" i="2"/>
  <c r="G70" i="4" s="1"/>
  <c r="AC69" i="2"/>
  <c r="AD69" i="2" s="1"/>
  <c r="Z69" i="2"/>
  <c r="N69" i="4" s="1"/>
  <c r="W69" i="2"/>
  <c r="M69" i="4" s="1"/>
  <c r="R69" i="2"/>
  <c r="K69" i="4" s="1"/>
  <c r="K69" i="2"/>
  <c r="G69" i="4" s="1"/>
  <c r="AC68" i="2"/>
  <c r="AD68" i="2" s="1"/>
  <c r="Z68" i="2"/>
  <c r="N68" i="4" s="1"/>
  <c r="W68" i="2"/>
  <c r="M68" i="4" s="1"/>
  <c r="R68" i="2"/>
  <c r="K68" i="4" s="1"/>
  <c r="K68" i="2"/>
  <c r="G68" i="4" s="1"/>
  <c r="AC67" i="2"/>
  <c r="AD67" i="2" s="1"/>
  <c r="Z67" i="2"/>
  <c r="N67" i="4" s="1"/>
  <c r="W67" i="2"/>
  <c r="M67" i="4" s="1"/>
  <c r="R67" i="2"/>
  <c r="K67" i="4" s="1"/>
  <c r="K67" i="2"/>
  <c r="G67" i="4" s="1"/>
  <c r="AC66" i="2"/>
  <c r="AD66" i="2" s="1"/>
  <c r="Z66" i="2"/>
  <c r="N66" i="4" s="1"/>
  <c r="W66" i="2"/>
  <c r="M66" i="4" s="1"/>
  <c r="K66" i="2"/>
  <c r="G66" i="4" s="1"/>
  <c r="AC65" i="2"/>
  <c r="Z65" i="2"/>
  <c r="N65" i="4" s="1"/>
  <c r="W65" i="2"/>
  <c r="M65" i="4" s="1"/>
  <c r="K65" i="2"/>
  <c r="G65" i="4" s="1"/>
  <c r="AC64" i="2"/>
  <c r="AD64" i="2" s="1"/>
  <c r="Z64" i="2"/>
  <c r="N64" i="4" s="1"/>
  <c r="W64" i="2"/>
  <c r="M64" i="4" s="1"/>
  <c r="K64" i="2"/>
  <c r="G64" i="4" s="1"/>
  <c r="AC63" i="2"/>
  <c r="AD63" i="2" s="1"/>
  <c r="Z63" i="2"/>
  <c r="N63" i="4" s="1"/>
  <c r="W63" i="2"/>
  <c r="M63" i="4" s="1"/>
  <c r="R63" i="2"/>
  <c r="K63" i="4" s="1"/>
  <c r="K63" i="2"/>
  <c r="G63" i="4" s="1"/>
  <c r="AC62" i="2"/>
  <c r="AD62" i="2" s="1"/>
  <c r="Z62" i="2"/>
  <c r="N62" i="4" s="1"/>
  <c r="W62" i="2"/>
  <c r="M62" i="4" s="1"/>
  <c r="R62" i="2"/>
  <c r="K62" i="4" s="1"/>
  <c r="K62" i="2"/>
  <c r="G62" i="4" s="1"/>
  <c r="AC61" i="2"/>
  <c r="AD61" i="2" s="1"/>
  <c r="Z61" i="2"/>
  <c r="N61" i="4" s="1"/>
  <c r="W61" i="2"/>
  <c r="M61" i="4" s="1"/>
  <c r="R61" i="2"/>
  <c r="K61" i="4" s="1"/>
  <c r="K61" i="2"/>
  <c r="G61" i="4" s="1"/>
  <c r="AC60" i="2"/>
  <c r="AD60" i="2" s="1"/>
  <c r="Z60" i="2"/>
  <c r="N60" i="4" s="1"/>
  <c r="W60" i="2"/>
  <c r="M60" i="4" s="1"/>
  <c r="R60" i="2"/>
  <c r="K60" i="4" s="1"/>
  <c r="K60" i="2"/>
  <c r="G60" i="4" s="1"/>
  <c r="AC59" i="2"/>
  <c r="AD59" i="2" s="1"/>
  <c r="Z59" i="2"/>
  <c r="N59" i="4" s="1"/>
  <c r="W59" i="2"/>
  <c r="M59" i="4" s="1"/>
  <c r="K59" i="2"/>
  <c r="G59" i="4" s="1"/>
  <c r="AC58" i="2"/>
  <c r="AD58" i="2" s="1"/>
  <c r="Z58" i="2"/>
  <c r="N58" i="4" s="1"/>
  <c r="W58" i="2"/>
  <c r="M58" i="4" s="1"/>
  <c r="R58" i="2"/>
  <c r="K58" i="4" s="1"/>
  <c r="K58" i="2"/>
  <c r="G58" i="4" s="1"/>
  <c r="AC57" i="2"/>
  <c r="AD57" i="2" s="1"/>
  <c r="Z57" i="2"/>
  <c r="N57" i="4" s="1"/>
  <c r="W57" i="2"/>
  <c r="M57" i="4" s="1"/>
  <c r="K57" i="2"/>
  <c r="G57" i="4" s="1"/>
  <c r="AC56" i="2"/>
  <c r="AD56" i="2" s="1"/>
  <c r="Z56" i="2"/>
  <c r="N56" i="4" s="1"/>
  <c r="W56" i="2"/>
  <c r="M56" i="4" s="1"/>
  <c r="R56" i="2"/>
  <c r="K56" i="4" s="1"/>
  <c r="K56" i="2"/>
  <c r="G56" i="4" s="1"/>
  <c r="AC55" i="2"/>
  <c r="AD55" i="2" s="1"/>
  <c r="Z55" i="2"/>
  <c r="N55" i="4" s="1"/>
  <c r="W55" i="2"/>
  <c r="M55" i="4" s="1"/>
  <c r="R55" i="2"/>
  <c r="K55" i="4" s="1"/>
  <c r="K55" i="2"/>
  <c r="G55" i="4" s="1"/>
  <c r="AC54" i="2"/>
  <c r="AD54" i="2" s="1"/>
  <c r="Z54" i="2"/>
  <c r="N54" i="4" s="1"/>
  <c r="W54" i="2"/>
  <c r="M54" i="4" s="1"/>
  <c r="R54" i="2"/>
  <c r="K54" i="4" s="1"/>
  <c r="K54" i="2"/>
  <c r="G54" i="4" s="1"/>
  <c r="AC53" i="2"/>
  <c r="AD53" i="2" s="1"/>
  <c r="Z53" i="2"/>
  <c r="N53" i="4" s="1"/>
  <c r="W53" i="2"/>
  <c r="M53" i="4" s="1"/>
  <c r="R53" i="2"/>
  <c r="R35" i="2" s="1"/>
  <c r="K35" i="4" s="1"/>
  <c r="K53" i="2"/>
  <c r="G53" i="4" s="1"/>
  <c r="AC52" i="2"/>
  <c r="AD52" i="2" s="1"/>
  <c r="Z52" i="2"/>
  <c r="N52" i="4" s="1"/>
  <c r="W52" i="2"/>
  <c r="M52" i="4" s="1"/>
  <c r="R52" i="2"/>
  <c r="K52" i="4" s="1"/>
  <c r="K52" i="2"/>
  <c r="G52" i="4" s="1"/>
  <c r="AC51" i="2"/>
  <c r="AD51" i="2" s="1"/>
  <c r="Z51" i="2"/>
  <c r="N51" i="4" s="1"/>
  <c r="W51" i="2"/>
  <c r="M51" i="4" s="1"/>
  <c r="R51" i="2"/>
  <c r="K51" i="4" s="1"/>
  <c r="K51" i="2"/>
  <c r="G51" i="4" s="1"/>
  <c r="AC50" i="2"/>
  <c r="AD50" i="2" s="1"/>
  <c r="Z50" i="2"/>
  <c r="N50" i="4" s="1"/>
  <c r="W50" i="2"/>
  <c r="M50" i="4" s="1"/>
  <c r="R50" i="2"/>
  <c r="K50" i="4" s="1"/>
  <c r="K50" i="2"/>
  <c r="G50" i="4" s="1"/>
  <c r="AC49" i="2"/>
  <c r="Z49" i="2"/>
  <c r="N49" i="4" s="1"/>
  <c r="W49" i="2"/>
  <c r="M49" i="4" s="1"/>
  <c r="K49" i="2"/>
  <c r="G49" i="4" s="1"/>
  <c r="AC48" i="2"/>
  <c r="AD48" i="2" s="1"/>
  <c r="Z48" i="2"/>
  <c r="N48" i="4" s="1"/>
  <c r="W48" i="2"/>
  <c r="M48" i="4" s="1"/>
  <c r="R48" i="2"/>
  <c r="K48" i="4" s="1"/>
  <c r="K48" i="2"/>
  <c r="G48" i="4" s="1"/>
  <c r="AC47" i="2"/>
  <c r="AD47" i="2" s="1"/>
  <c r="Z47" i="2"/>
  <c r="N47" i="4" s="1"/>
  <c r="W47" i="2"/>
  <c r="M47" i="4" s="1"/>
  <c r="R47" i="2"/>
  <c r="K47" i="4" s="1"/>
  <c r="K47" i="2"/>
  <c r="G47" i="4" s="1"/>
  <c r="AC46" i="2"/>
  <c r="AD46" i="2" s="1"/>
  <c r="Z46" i="2"/>
  <c r="N46" i="4" s="1"/>
  <c r="W46" i="2"/>
  <c r="M46" i="4" s="1"/>
  <c r="R46" i="2"/>
  <c r="K46" i="4" s="1"/>
  <c r="K46" i="2"/>
  <c r="G46" i="4" s="1"/>
  <c r="AC45" i="2"/>
  <c r="AD45" i="2" s="1"/>
  <c r="Z45" i="2"/>
  <c r="N45" i="4" s="1"/>
  <c r="W45" i="2"/>
  <c r="M45" i="4" s="1"/>
  <c r="R45" i="2"/>
  <c r="K45" i="4" s="1"/>
  <c r="K45" i="2"/>
  <c r="G45" i="4" s="1"/>
  <c r="AC44" i="2"/>
  <c r="AD44" i="2" s="1"/>
  <c r="Z44" i="2"/>
  <c r="N44" i="4" s="1"/>
  <c r="W44" i="2"/>
  <c r="M44" i="4" s="1"/>
  <c r="K44" i="2"/>
  <c r="G44" i="4" s="1"/>
  <c r="AC43" i="2"/>
  <c r="AD43" i="2" s="1"/>
  <c r="Z43" i="2"/>
  <c r="N43" i="4" s="1"/>
  <c r="W43" i="2"/>
  <c r="M43" i="4" s="1"/>
  <c r="R43" i="2"/>
  <c r="K43" i="4" s="1"/>
  <c r="K43" i="2"/>
  <c r="G43" i="4" s="1"/>
  <c r="AC42" i="2"/>
  <c r="AD42" i="2" s="1"/>
  <c r="Z42" i="2"/>
  <c r="N42" i="4" s="1"/>
  <c r="W42" i="2"/>
  <c r="M42" i="4" s="1"/>
  <c r="R42" i="2"/>
  <c r="K42" i="4" s="1"/>
  <c r="K42" i="2"/>
  <c r="G42" i="4" s="1"/>
  <c r="AC41" i="2"/>
  <c r="Z41" i="2"/>
  <c r="N41" i="4" s="1"/>
  <c r="W41" i="2"/>
  <c r="M41" i="4" s="1"/>
  <c r="K41" i="2"/>
  <c r="G41" i="4" s="1"/>
  <c r="AC40" i="2"/>
  <c r="AD40" i="2" s="1"/>
  <c r="Z40" i="2"/>
  <c r="N40" i="4" s="1"/>
  <c r="W40" i="2"/>
  <c r="M40" i="4" s="1"/>
  <c r="R40" i="2"/>
  <c r="R22" i="2" s="1"/>
  <c r="K22" i="4" s="1"/>
  <c r="K40" i="2"/>
  <c r="G40" i="4" s="1"/>
  <c r="AC39" i="2"/>
  <c r="AD39" i="2" s="1"/>
  <c r="Z39" i="2"/>
  <c r="N39" i="4" s="1"/>
  <c r="W39" i="2"/>
  <c r="M39" i="4" s="1"/>
  <c r="R39" i="2"/>
  <c r="K39" i="4" s="1"/>
  <c r="K39" i="2"/>
  <c r="G39" i="4" s="1"/>
  <c r="AC38" i="2"/>
  <c r="AD38" i="2" s="1"/>
  <c r="Z38" i="2"/>
  <c r="N38" i="4" s="1"/>
  <c r="W38" i="2"/>
  <c r="M38" i="4" s="1"/>
  <c r="R38" i="2"/>
  <c r="K38" i="4" s="1"/>
  <c r="K38" i="2"/>
  <c r="G38" i="4" s="1"/>
  <c r="AC37" i="2"/>
  <c r="AD37" i="2" s="1"/>
  <c r="Z37" i="2"/>
  <c r="N37" i="4" s="1"/>
  <c r="W37" i="2"/>
  <c r="M37" i="4" s="1"/>
  <c r="R37" i="2"/>
  <c r="K37" i="4" s="1"/>
  <c r="K37" i="2"/>
  <c r="G37" i="4" s="1"/>
  <c r="AC36" i="2"/>
  <c r="AD36" i="2" s="1"/>
  <c r="Z36" i="2"/>
  <c r="N36" i="4" s="1"/>
  <c r="W36" i="2"/>
  <c r="M36" i="4" s="1"/>
  <c r="R36" i="2"/>
  <c r="K36" i="4" s="1"/>
  <c r="K36" i="2"/>
  <c r="G36" i="4" s="1"/>
  <c r="AC35" i="2"/>
  <c r="AD35" i="2" s="1"/>
  <c r="Z35" i="2"/>
  <c r="N35" i="4" s="1"/>
  <c r="W35" i="2"/>
  <c r="M35" i="4" s="1"/>
  <c r="K35" i="2"/>
  <c r="G35" i="4" s="1"/>
  <c r="AC34" i="2"/>
  <c r="AD34" i="2" s="1"/>
  <c r="Z34" i="2"/>
  <c r="N34" i="4" s="1"/>
  <c r="W34" i="2"/>
  <c r="M34" i="4" s="1"/>
  <c r="R34" i="2"/>
  <c r="K34" i="4" s="1"/>
  <c r="K34" i="2"/>
  <c r="G34" i="4" s="1"/>
  <c r="AC33" i="2"/>
  <c r="Z33" i="2"/>
  <c r="N33" i="4" s="1"/>
  <c r="W33" i="2"/>
  <c r="M33" i="4" s="1"/>
  <c r="K33" i="2"/>
  <c r="G33" i="4" s="1"/>
  <c r="AC32" i="2"/>
  <c r="AD32" i="2" s="1"/>
  <c r="Z32" i="2"/>
  <c r="N32" i="4" s="1"/>
  <c r="W32" i="2"/>
  <c r="M32" i="4" s="1"/>
  <c r="R32" i="2"/>
  <c r="R14" i="2" s="1"/>
  <c r="K14" i="4" s="1"/>
  <c r="K32" i="2"/>
  <c r="G32" i="4" s="1"/>
  <c r="AC31" i="2"/>
  <c r="AD31" i="2" s="1"/>
  <c r="Z31" i="2"/>
  <c r="N31" i="4" s="1"/>
  <c r="W31" i="2"/>
  <c r="M31" i="4" s="1"/>
  <c r="R31" i="2"/>
  <c r="K31" i="4" s="1"/>
  <c r="K31" i="2"/>
  <c r="G31" i="4" s="1"/>
  <c r="AC30" i="2"/>
  <c r="AD30" i="2" s="1"/>
  <c r="Z30" i="2"/>
  <c r="N30" i="4" s="1"/>
  <c r="W30" i="2"/>
  <c r="M30" i="4" s="1"/>
  <c r="R30" i="2"/>
  <c r="K30" i="4" s="1"/>
  <c r="K30" i="2"/>
  <c r="G30" i="4" s="1"/>
  <c r="AC29" i="2"/>
  <c r="AD29" i="2" s="1"/>
  <c r="Z29" i="2"/>
  <c r="N29" i="4" s="1"/>
  <c r="W29" i="2"/>
  <c r="M29" i="4" s="1"/>
  <c r="R29" i="2"/>
  <c r="K29" i="4" s="1"/>
  <c r="K29" i="2"/>
  <c r="G29" i="4" s="1"/>
  <c r="AC28" i="2"/>
  <c r="AD28" i="2" s="1"/>
  <c r="Z28" i="2"/>
  <c r="N28" i="4" s="1"/>
  <c r="W28" i="2"/>
  <c r="M28" i="4" s="1"/>
  <c r="R28" i="2"/>
  <c r="K28" i="4" s="1"/>
  <c r="K28" i="2"/>
  <c r="G28" i="4" s="1"/>
  <c r="AC27" i="2"/>
  <c r="AD27" i="2" s="1"/>
  <c r="Z27" i="2"/>
  <c r="N27" i="4" s="1"/>
  <c r="W27" i="2"/>
  <c r="M27" i="4" s="1"/>
  <c r="R27" i="2"/>
  <c r="K27" i="4" s="1"/>
  <c r="K27" i="2"/>
  <c r="G27" i="4" s="1"/>
  <c r="AC26" i="2"/>
  <c r="AD26" i="2" s="1"/>
  <c r="Z26" i="2"/>
  <c r="N26" i="4" s="1"/>
  <c r="W26" i="2"/>
  <c r="M26" i="4" s="1"/>
  <c r="R26" i="2"/>
  <c r="K26" i="4" s="1"/>
  <c r="K26" i="2"/>
  <c r="G26" i="4" s="1"/>
  <c r="AC25" i="2"/>
  <c r="Z25" i="2"/>
  <c r="N25" i="4" s="1"/>
  <c r="W25" i="2"/>
  <c r="M25" i="4" s="1"/>
  <c r="R25" i="2"/>
  <c r="K25" i="4" s="1"/>
  <c r="K25" i="2"/>
  <c r="G25" i="4" s="1"/>
  <c r="AC24" i="2"/>
  <c r="AD24" i="2" s="1"/>
  <c r="Z24" i="2"/>
  <c r="N24" i="4" s="1"/>
  <c r="W24" i="2"/>
  <c r="M24" i="4" s="1"/>
  <c r="R24" i="2"/>
  <c r="K24" i="4" s="1"/>
  <c r="K24" i="2"/>
  <c r="G24" i="4" s="1"/>
  <c r="AC23" i="2"/>
  <c r="AD23" i="2" s="1"/>
  <c r="Z23" i="2"/>
  <c r="N23" i="4" s="1"/>
  <c r="W23" i="2"/>
  <c r="M23" i="4" s="1"/>
  <c r="R23" i="2"/>
  <c r="K23" i="4" s="1"/>
  <c r="K23" i="2"/>
  <c r="G23" i="4" s="1"/>
  <c r="AC22" i="2"/>
  <c r="AD22" i="2" s="1"/>
  <c r="Z22" i="2"/>
  <c r="N22" i="4" s="1"/>
  <c r="W22" i="2"/>
  <c r="M22" i="4" s="1"/>
  <c r="K22" i="2"/>
  <c r="G22" i="4" s="1"/>
  <c r="AC21" i="2"/>
  <c r="AD21" i="2" s="1"/>
  <c r="Z21" i="2"/>
  <c r="N21" i="4" s="1"/>
  <c r="W21" i="2"/>
  <c r="M21" i="4" s="1"/>
  <c r="K21" i="2"/>
  <c r="G21" i="4" s="1"/>
  <c r="AC20" i="2"/>
  <c r="AD20" i="2" s="1"/>
  <c r="Z20" i="2"/>
  <c r="N20" i="4" s="1"/>
  <c r="W20" i="2"/>
  <c r="M20" i="4" s="1"/>
  <c r="K20" i="2"/>
  <c r="G20" i="4" s="1"/>
  <c r="AC19" i="2"/>
  <c r="AD19" i="2" s="1"/>
  <c r="Z19" i="2"/>
  <c r="N19" i="4" s="1"/>
  <c r="W19" i="2"/>
  <c r="M19" i="4" s="1"/>
  <c r="R19" i="2"/>
  <c r="K19" i="4" s="1"/>
  <c r="K19" i="2"/>
  <c r="G19" i="4" s="1"/>
  <c r="AC18" i="2"/>
  <c r="AD18" i="2" s="1"/>
  <c r="Z18" i="2"/>
  <c r="N18" i="4" s="1"/>
  <c r="W18" i="2"/>
  <c r="M18" i="4" s="1"/>
  <c r="R18" i="2"/>
  <c r="K18" i="4" s="1"/>
  <c r="K18" i="2"/>
  <c r="G18" i="4" s="1"/>
  <c r="AC17" i="2"/>
  <c r="Z17" i="2"/>
  <c r="N17" i="4" s="1"/>
  <c r="W17" i="2"/>
  <c r="M17" i="4" s="1"/>
  <c r="R17" i="2"/>
  <c r="K17" i="4" s="1"/>
  <c r="K17" i="2"/>
  <c r="G17" i="4" s="1"/>
  <c r="AC16" i="2"/>
  <c r="AD16" i="2" s="1"/>
  <c r="Z16" i="2"/>
  <c r="N16" i="4" s="1"/>
  <c r="W16" i="2"/>
  <c r="M16" i="4" s="1"/>
  <c r="R16" i="2"/>
  <c r="K16" i="4" s="1"/>
  <c r="K16" i="2"/>
  <c r="G16" i="4" s="1"/>
  <c r="AC15" i="2"/>
  <c r="AD15" i="2" s="1"/>
  <c r="Z15" i="2"/>
  <c r="N15" i="4" s="1"/>
  <c r="W15" i="2"/>
  <c r="M15" i="4" s="1"/>
  <c r="K15" i="2"/>
  <c r="G15" i="4" s="1"/>
  <c r="AC14" i="2"/>
  <c r="AD14" i="2" s="1"/>
  <c r="Z14" i="2"/>
  <c r="N14" i="4" s="1"/>
  <c r="W14" i="2"/>
  <c r="M14" i="4" s="1"/>
  <c r="K14" i="2"/>
  <c r="G14" i="4" s="1"/>
  <c r="AC13" i="2"/>
  <c r="AD13" i="2" s="1"/>
  <c r="Z13" i="2"/>
  <c r="N13" i="4" s="1"/>
  <c r="W13" i="2"/>
  <c r="M13" i="4" s="1"/>
  <c r="K13" i="2"/>
  <c r="G13" i="4" s="1"/>
  <c r="AC12" i="2"/>
  <c r="AD12" i="2" s="1"/>
  <c r="Z12" i="2"/>
  <c r="N12" i="4" s="1"/>
  <c r="W12" i="2"/>
  <c r="M12" i="4" s="1"/>
  <c r="K12" i="2"/>
  <c r="G12" i="4" s="1"/>
  <c r="AC11" i="2"/>
  <c r="AD11" i="2" s="1"/>
  <c r="Z11" i="2"/>
  <c r="N11" i="4" s="1"/>
  <c r="W11" i="2"/>
  <c r="M11" i="4" s="1"/>
  <c r="R11" i="2"/>
  <c r="K11" i="4" s="1"/>
  <c r="K11" i="2"/>
  <c r="G11" i="4" s="1"/>
  <c r="AC10" i="2"/>
  <c r="AD10" i="2" s="1"/>
  <c r="Z10" i="2"/>
  <c r="N10" i="4" s="1"/>
  <c r="W10" i="2"/>
  <c r="M10" i="4" s="1"/>
  <c r="R10" i="2"/>
  <c r="K10" i="4" s="1"/>
  <c r="K10" i="2"/>
  <c r="G10" i="4" s="1"/>
  <c r="AC9" i="2"/>
  <c r="Z9" i="2"/>
  <c r="N9" i="4" s="1"/>
  <c r="W9" i="2"/>
  <c r="M9" i="4" s="1"/>
  <c r="R9" i="2"/>
  <c r="K9" i="4" s="1"/>
  <c r="K9" i="2"/>
  <c r="G9" i="4" s="1"/>
  <c r="AC8" i="2"/>
  <c r="AD8" i="2" s="1"/>
  <c r="Z8" i="2"/>
  <c r="N8" i="4" s="1"/>
  <c r="W8" i="2"/>
  <c r="M8" i="4" s="1"/>
  <c r="R8" i="2"/>
  <c r="K8" i="4" s="1"/>
  <c r="K8" i="2"/>
  <c r="G8" i="4" s="1"/>
  <c r="AC7" i="2"/>
  <c r="AD7" i="2" s="1"/>
  <c r="Z7" i="2"/>
  <c r="N7" i="4" s="1"/>
  <c r="W7" i="2"/>
  <c r="M7" i="4" s="1"/>
  <c r="R7" i="2"/>
  <c r="K7" i="4" s="1"/>
  <c r="K7" i="2"/>
  <c r="G7" i="4" s="1"/>
  <c r="AC6" i="2"/>
  <c r="AD6" i="2" s="1"/>
  <c r="Z6" i="2"/>
  <c r="N6" i="4" s="1"/>
  <c r="W6" i="2"/>
  <c r="M6" i="4" s="1"/>
  <c r="R6" i="2"/>
  <c r="K6" i="4" s="1"/>
  <c r="K6" i="2"/>
  <c r="G6" i="4" s="1"/>
  <c r="AC5" i="2"/>
  <c r="AD5" i="2" s="1"/>
  <c r="Z5" i="2"/>
  <c r="N5" i="4" s="1"/>
  <c r="W5" i="2"/>
  <c r="M5" i="4" s="1"/>
  <c r="R5" i="2"/>
  <c r="K5" i="4" s="1"/>
  <c r="K5" i="2"/>
  <c r="G5" i="4" s="1"/>
  <c r="AC4" i="2"/>
  <c r="AD4" i="2" s="1"/>
  <c r="Z4" i="2"/>
  <c r="N4" i="4" s="1"/>
  <c r="W4" i="2"/>
  <c r="M4" i="4" s="1"/>
  <c r="R4" i="2"/>
  <c r="K4" i="4" s="1"/>
  <c r="K4" i="2"/>
  <c r="G4" i="4" s="1"/>
  <c r="AC3" i="2"/>
  <c r="AD3" i="2" s="1"/>
  <c r="Z3" i="2"/>
  <c r="N3" i="4" s="1"/>
  <c r="W3" i="2"/>
  <c r="M3" i="4" s="1"/>
  <c r="R3" i="2"/>
  <c r="K3" i="4" s="1"/>
  <c r="K3" i="2"/>
  <c r="G3" i="4" s="1"/>
  <c r="AC2" i="2"/>
  <c r="AD2" i="2" s="1"/>
  <c r="Z2" i="2"/>
  <c r="N2" i="4" s="1"/>
  <c r="W2" i="2"/>
  <c r="M2" i="4" s="1"/>
  <c r="K2" i="2"/>
  <c r="G2" i="4" s="1"/>
  <c r="R250" i="2" l="1"/>
  <c r="K250" i="4" s="1"/>
  <c r="K40" i="4"/>
  <c r="AE507" i="2"/>
  <c r="R21" i="2"/>
  <c r="K21" i="4" s="1"/>
  <c r="R327" i="2"/>
  <c r="K327" i="4" s="1"/>
  <c r="K32" i="4"/>
  <c r="K138" i="4"/>
  <c r="K210" i="4"/>
  <c r="AE212" i="2"/>
  <c r="K83" i="4"/>
  <c r="K148" i="4"/>
  <c r="K236" i="4"/>
  <c r="K53" i="4"/>
  <c r="K405" i="4"/>
  <c r="K414" i="4"/>
  <c r="AE104" i="2"/>
  <c r="R443" i="2"/>
  <c r="K443" i="4" s="1"/>
  <c r="R491" i="2"/>
  <c r="K491" i="4" s="1"/>
  <c r="AE92" i="2"/>
  <c r="AE200" i="2"/>
  <c r="AE413" i="2"/>
  <c r="AE435" i="2"/>
  <c r="R407" i="2"/>
  <c r="K407" i="4" s="1"/>
  <c r="R90" i="2"/>
  <c r="K90" i="4" s="1"/>
  <c r="R353" i="2"/>
  <c r="K353" i="4" s="1"/>
  <c r="R458" i="2"/>
  <c r="K458" i="4" s="1"/>
  <c r="R182" i="2"/>
  <c r="K182" i="4" s="1"/>
  <c r="AE315" i="2"/>
  <c r="R13" i="2"/>
  <c r="K13" i="4" s="1"/>
  <c r="AE271" i="2"/>
  <c r="R20" i="2"/>
  <c r="AE35" i="2"/>
  <c r="R49" i="2"/>
  <c r="K49" i="4" s="1"/>
  <c r="AE230" i="2"/>
  <c r="AE406" i="2"/>
  <c r="AE15" i="2"/>
  <c r="AE233" i="2"/>
  <c r="R124" i="2"/>
  <c r="K124" i="4" s="1"/>
  <c r="R349" i="2"/>
  <c r="K349" i="4" s="1"/>
  <c r="AE481" i="2"/>
  <c r="AE297" i="2"/>
  <c r="AE363" i="2"/>
  <c r="AE389" i="2"/>
  <c r="AE412" i="2"/>
  <c r="AE495" i="2"/>
  <c r="AE353" i="2"/>
  <c r="R89" i="2"/>
  <c r="K89" i="4" s="1"/>
  <c r="R170" i="2"/>
  <c r="K170" i="4" s="1"/>
  <c r="AE284" i="2"/>
  <c r="R333" i="2"/>
  <c r="K333" i="4" s="1"/>
  <c r="AE85" i="2"/>
  <c r="AE341" i="2"/>
  <c r="R64" i="2"/>
  <c r="K64" i="4" s="1"/>
  <c r="R78" i="2"/>
  <c r="K78" i="4" s="1"/>
  <c r="AE234" i="2"/>
  <c r="AE336" i="2"/>
  <c r="AE410" i="2"/>
  <c r="R423" i="2"/>
  <c r="K423" i="4" s="1"/>
  <c r="AE437" i="2"/>
  <c r="AE509" i="2"/>
  <c r="AE285" i="2"/>
  <c r="AE150" i="2"/>
  <c r="AE47" i="2"/>
  <c r="AE71" i="2"/>
  <c r="R157" i="2"/>
  <c r="K157" i="4" s="1"/>
  <c r="R270" i="2"/>
  <c r="K270" i="4" s="1"/>
  <c r="AE367" i="2"/>
  <c r="AE441" i="2"/>
  <c r="AE475" i="2"/>
  <c r="R133" i="2"/>
  <c r="K133" i="4" s="1"/>
  <c r="AE497" i="2"/>
  <c r="AE51" i="2"/>
  <c r="AE98" i="2"/>
  <c r="AE99" i="2"/>
  <c r="AE100" i="2"/>
  <c r="AE256" i="2"/>
  <c r="AE257" i="2"/>
  <c r="AE260" i="2"/>
  <c r="AE301" i="2"/>
  <c r="AE424" i="2"/>
  <c r="AE443" i="2"/>
  <c r="R451" i="2"/>
  <c r="K451" i="4" s="1"/>
  <c r="AE75" i="2"/>
  <c r="AE177" i="2"/>
  <c r="AE55" i="2"/>
  <c r="AE182" i="2"/>
  <c r="AE186" i="2"/>
  <c r="AE343" i="2"/>
  <c r="AE360" i="2"/>
  <c r="AE361" i="2"/>
  <c r="AE459" i="2"/>
  <c r="AE465" i="2"/>
  <c r="AE491" i="2"/>
  <c r="AE11" i="2"/>
  <c r="AE13" i="2"/>
  <c r="R44" i="2"/>
  <c r="K44" i="4" s="1"/>
  <c r="AE226" i="2"/>
  <c r="R411" i="2"/>
  <c r="AE201" i="2"/>
  <c r="AE222" i="2"/>
  <c r="AE311" i="2"/>
  <c r="AE401" i="2"/>
  <c r="R439" i="2"/>
  <c r="K439" i="4" s="1"/>
  <c r="AE242" i="2"/>
  <c r="AE384" i="2"/>
  <c r="AE499" i="2"/>
  <c r="AE102" i="2"/>
  <c r="R116" i="2"/>
  <c r="K116" i="4" s="1"/>
  <c r="AE198" i="2"/>
  <c r="AE199" i="2"/>
  <c r="AE206" i="2"/>
  <c r="AE239" i="2"/>
  <c r="AE420" i="2"/>
  <c r="AE355" i="2"/>
  <c r="R102" i="2"/>
  <c r="K102" i="4" s="1"/>
  <c r="AE289" i="2"/>
  <c r="AE10" i="2"/>
  <c r="AE304" i="2"/>
  <c r="AE161" i="2"/>
  <c r="AE39" i="2"/>
  <c r="AE94" i="2"/>
  <c r="AE106" i="2"/>
  <c r="R113" i="2"/>
  <c r="K113" i="4" s="1"/>
  <c r="R178" i="2"/>
  <c r="K178" i="4" s="1"/>
  <c r="AE210" i="2"/>
  <c r="AE214" i="2"/>
  <c r="AE216" i="2"/>
  <c r="AE218" i="2"/>
  <c r="AE248" i="2"/>
  <c r="AE251" i="2"/>
  <c r="AE323" i="2"/>
  <c r="AE335" i="2"/>
  <c r="AE350" i="2"/>
  <c r="AE382" i="2"/>
  <c r="AE399" i="2"/>
  <c r="AE418" i="2"/>
  <c r="AE439" i="2"/>
  <c r="AE463" i="2"/>
  <c r="AE95" i="2"/>
  <c r="AE96" i="2"/>
  <c r="AE97" i="2"/>
  <c r="R154" i="2"/>
  <c r="K154" i="4" s="1"/>
  <c r="R201" i="2"/>
  <c r="K201" i="4" s="1"/>
  <c r="AE278" i="2"/>
  <c r="AE280" i="2"/>
  <c r="AE283" i="2"/>
  <c r="AE305" i="2"/>
  <c r="AE319" i="2"/>
  <c r="AE362" i="2"/>
  <c r="AE408" i="2"/>
  <c r="AE419" i="2"/>
  <c r="AE431" i="2"/>
  <c r="AE479" i="2"/>
  <c r="R33" i="2"/>
  <c r="K33" i="4" s="1"/>
  <c r="AE70" i="2"/>
  <c r="R75" i="2"/>
  <c r="K75" i="4" s="1"/>
  <c r="R101" i="2"/>
  <c r="K101" i="4" s="1"/>
  <c r="R240" i="2"/>
  <c r="K240" i="4" s="1"/>
  <c r="AE306" i="2"/>
  <c r="AE374" i="2"/>
  <c r="AE400" i="2"/>
  <c r="AE405" i="2"/>
  <c r="R404" i="2"/>
  <c r="K404" i="4" s="1"/>
  <c r="AE81" i="2"/>
  <c r="AE90" i="2"/>
  <c r="AE155" i="2"/>
  <c r="AE168" i="2"/>
  <c r="AE170" i="2"/>
  <c r="AE178" i="2"/>
  <c r="AE188" i="2"/>
  <c r="AE190" i="2"/>
  <c r="AE202" i="2"/>
  <c r="AE204" i="2"/>
  <c r="AE265" i="2"/>
  <c r="AE266" i="2"/>
  <c r="AE309" i="2"/>
  <c r="AE377" i="2"/>
  <c r="AE395" i="2"/>
  <c r="AE396" i="2"/>
  <c r="AE398" i="2"/>
  <c r="AE402" i="2"/>
  <c r="AE74" i="2"/>
  <c r="R216" i="2"/>
  <c r="K216" i="4" s="1"/>
  <c r="R278" i="2"/>
  <c r="K278" i="4" s="1"/>
  <c r="AE290" i="2"/>
  <c r="AE348" i="2"/>
  <c r="AE379" i="2"/>
  <c r="AE387" i="2"/>
  <c r="R391" i="2"/>
  <c r="K391" i="4" s="1"/>
  <c r="AE403" i="2"/>
  <c r="AE338" i="2"/>
  <c r="AE5" i="2"/>
  <c r="AE7" i="2"/>
  <c r="R12" i="2"/>
  <c r="K12" i="4" s="1"/>
  <c r="AE23" i="2"/>
  <c r="AE34" i="2"/>
  <c r="AE50" i="2"/>
  <c r="R66" i="2"/>
  <c r="K66" i="4" s="1"/>
  <c r="R145" i="2"/>
  <c r="K145" i="4" s="1"/>
  <c r="R176" i="2"/>
  <c r="K176" i="4" s="1"/>
  <c r="AE181" i="2"/>
  <c r="R185" i="2"/>
  <c r="K185" i="4" s="1"/>
  <c r="AE269" i="2"/>
  <c r="R279" i="2"/>
  <c r="K279" i="4" s="1"/>
  <c r="R295" i="2"/>
  <c r="K295" i="4" s="1"/>
  <c r="AE322" i="2"/>
  <c r="AE349" i="2"/>
  <c r="AE414" i="2"/>
  <c r="AE427" i="2"/>
  <c r="AE451" i="2"/>
  <c r="AE455" i="2"/>
  <c r="AE503" i="2"/>
  <c r="AE505" i="2"/>
  <c r="AE21" i="2"/>
  <c r="AE25" i="2"/>
  <c r="AE41" i="2"/>
  <c r="AE78" i="2"/>
  <c r="AE84" i="2"/>
  <c r="AE93" i="2"/>
  <c r="AE110" i="2"/>
  <c r="AE114" i="2"/>
  <c r="AE118" i="2"/>
  <c r="AE122" i="2"/>
  <c r="AE126" i="2"/>
  <c r="AE130" i="2"/>
  <c r="AE165" i="2"/>
  <c r="AE185" i="2"/>
  <c r="AE327" i="2"/>
  <c r="AE351" i="2"/>
  <c r="AE375" i="2"/>
  <c r="R378" i="2"/>
  <c r="K378" i="4" s="1"/>
  <c r="AE8" i="2"/>
  <c r="AE18" i="2"/>
  <c r="AE22" i="2"/>
  <c r="AE32" i="2"/>
  <c r="AE38" i="2"/>
  <c r="AE48" i="2"/>
  <c r="AE54" i="2"/>
  <c r="R59" i="2"/>
  <c r="K59" i="4" s="1"/>
  <c r="AE68" i="2"/>
  <c r="AE147" i="2"/>
  <c r="AE156" i="2"/>
  <c r="R161" i="2"/>
  <c r="K161" i="4" s="1"/>
  <c r="AE166" i="2"/>
  <c r="AE172" i="2"/>
  <c r="AE189" i="2"/>
  <c r="R211" i="2"/>
  <c r="K211" i="4" s="1"/>
  <c r="R223" i="2"/>
  <c r="K223" i="4" s="1"/>
  <c r="AE316" i="2"/>
  <c r="AE346" i="2"/>
  <c r="AE169" i="2"/>
  <c r="AE2" i="2"/>
  <c r="AE26" i="2"/>
  <c r="AE36" i="2"/>
  <c r="AE42" i="2"/>
  <c r="AE52" i="2"/>
  <c r="AE58" i="2"/>
  <c r="AE65" i="2"/>
  <c r="AE88" i="2"/>
  <c r="AE91" i="2"/>
  <c r="AE148" i="2"/>
  <c r="AE160" i="2"/>
  <c r="AE176" i="2"/>
  <c r="AE183" i="2"/>
  <c r="AE193" i="2"/>
  <c r="AE197" i="2"/>
  <c r="AE339" i="2"/>
  <c r="AE356" i="2"/>
  <c r="AE370" i="2"/>
  <c r="AE33" i="2"/>
  <c r="AE62" i="2"/>
  <c r="AE69" i="2"/>
  <c r="AE101" i="2"/>
  <c r="AE108" i="2"/>
  <c r="AE157" i="2"/>
  <c r="AE173" i="2"/>
  <c r="AE314" i="2"/>
  <c r="AE334" i="2"/>
  <c r="AE6" i="2"/>
  <c r="AE30" i="2"/>
  <c r="AE46" i="2"/>
  <c r="AE66" i="2"/>
  <c r="AE80" i="2"/>
  <c r="AE158" i="2"/>
  <c r="AE87" i="2"/>
  <c r="AE195" i="2"/>
  <c r="R390" i="2"/>
  <c r="K390" i="4" s="1"/>
  <c r="AE14" i="2"/>
  <c r="AE162" i="2"/>
  <c r="R453" i="2"/>
  <c r="K453" i="4" s="1"/>
  <c r="AE359" i="2"/>
  <c r="AE391" i="2"/>
  <c r="AE504" i="2"/>
  <c r="AE508" i="2"/>
  <c r="AE203" i="2"/>
  <c r="AE207" i="2"/>
  <c r="AE211" i="2"/>
  <c r="AE235" i="2"/>
  <c r="AE244" i="2"/>
  <c r="AE253" i="2"/>
  <c r="AE262" i="2"/>
  <c r="AE267" i="2"/>
  <c r="AE276" i="2"/>
  <c r="AE288" i="2"/>
  <c r="AE291" i="2"/>
  <c r="AE294" i="2"/>
  <c r="AE296" i="2"/>
  <c r="AE318" i="2"/>
  <c r="AE394" i="2"/>
  <c r="AE409" i="2"/>
  <c r="AE416" i="2"/>
  <c r="AE208" i="2"/>
  <c r="AE286" i="2"/>
  <c r="AE358" i="2"/>
  <c r="AE390" i="2"/>
  <c r="AE407" i="2"/>
  <c r="AE417" i="2"/>
  <c r="AE421" i="2"/>
  <c r="AE325" i="2"/>
  <c r="AE330" i="2"/>
  <c r="AE368" i="2"/>
  <c r="AE378" i="2"/>
  <c r="AE467" i="2"/>
  <c r="AE483" i="2"/>
  <c r="AE506" i="2"/>
  <c r="AE209" i="2"/>
  <c r="AE237" i="2"/>
  <c r="AE246" i="2"/>
  <c r="AE292" i="2"/>
  <c r="AE298" i="2"/>
  <c r="AE342" i="2"/>
  <c r="AE354" i="2"/>
  <c r="AE366" i="2"/>
  <c r="AE411" i="2"/>
  <c r="AE426" i="2"/>
  <c r="AE205" i="2"/>
  <c r="AE274" i="2"/>
  <c r="AE279" i="2"/>
  <c r="AE293" i="2"/>
  <c r="R294" i="2"/>
  <c r="K294" i="4" s="1"/>
  <c r="AE310" i="2"/>
  <c r="AE326" i="2"/>
  <c r="AE415" i="2"/>
  <c r="AE423" i="2"/>
  <c r="AE447" i="2"/>
  <c r="AE471" i="2"/>
  <c r="AE487" i="2"/>
  <c r="AE302" i="2"/>
  <c r="AE307" i="2"/>
  <c r="AE331" i="2"/>
  <c r="AE347" i="2"/>
  <c r="AE371" i="2"/>
  <c r="AE383" i="2"/>
  <c r="AE386" i="2"/>
  <c r="AE500" i="2"/>
  <c r="AE29" i="2"/>
  <c r="AE45" i="2"/>
  <c r="AE61" i="2"/>
  <c r="AE72" i="2"/>
  <c r="AE82" i="2"/>
  <c r="AE12" i="2"/>
  <c r="AE16" i="2"/>
  <c r="AE76" i="2"/>
  <c r="AE79" i="2"/>
  <c r="AE9" i="2"/>
  <c r="AE19" i="2"/>
  <c r="AE49" i="2"/>
  <c r="AE20" i="2"/>
  <c r="AE24" i="2"/>
  <c r="AE40" i="2"/>
  <c r="AE56" i="2"/>
  <c r="AE73" i="2"/>
  <c r="AE83" i="2"/>
  <c r="AE86" i="2"/>
  <c r="AE3" i="2"/>
  <c r="AE17" i="2"/>
  <c r="AE27" i="2"/>
  <c r="AE37" i="2"/>
  <c r="AE43" i="2"/>
  <c r="AE53" i="2"/>
  <c r="AE59" i="2"/>
  <c r="AE77" i="2"/>
  <c r="AE89" i="2"/>
  <c r="AE4" i="2"/>
  <c r="AE28" i="2"/>
  <c r="AE44" i="2"/>
  <c r="AE60" i="2"/>
  <c r="AE63" i="2"/>
  <c r="AE31" i="2"/>
  <c r="AE57" i="2"/>
  <c r="AE64" i="2"/>
  <c r="AE67" i="2"/>
  <c r="AE107" i="2"/>
  <c r="AE111" i="2"/>
  <c r="AE115" i="2"/>
  <c r="AE119" i="2"/>
  <c r="AE123" i="2"/>
  <c r="AE127" i="2"/>
  <c r="AE131" i="2"/>
  <c r="AE135" i="2"/>
  <c r="AE139" i="2"/>
  <c r="AE143" i="2"/>
  <c r="AE152" i="2"/>
  <c r="AE163" i="2"/>
  <c r="AE179" i="2"/>
  <c r="AE196" i="2"/>
  <c r="AE112" i="2"/>
  <c r="AE116" i="2"/>
  <c r="AE120" i="2"/>
  <c r="AE124" i="2"/>
  <c r="AE128" i="2"/>
  <c r="AE132" i="2"/>
  <c r="AE136" i="2"/>
  <c r="AE140" i="2"/>
  <c r="AE144" i="2"/>
  <c r="AE153" i="2"/>
  <c r="AE167" i="2"/>
  <c r="AE187" i="2"/>
  <c r="AE105" i="2"/>
  <c r="AE149" i="2"/>
  <c r="AE164" i="2"/>
  <c r="AE180" i="2"/>
  <c r="AE191" i="2"/>
  <c r="AE109" i="2"/>
  <c r="AE113" i="2"/>
  <c r="AE117" i="2"/>
  <c r="AE121" i="2"/>
  <c r="AE125" i="2"/>
  <c r="AE129" i="2"/>
  <c r="AE133" i="2"/>
  <c r="AE137" i="2"/>
  <c r="AE141" i="2"/>
  <c r="AE145" i="2"/>
  <c r="AE154" i="2"/>
  <c r="AE171" i="2"/>
  <c r="AE184" i="2"/>
  <c r="AE194" i="2"/>
  <c r="AE174" i="2"/>
  <c r="AE103" i="2"/>
  <c r="AE134" i="2"/>
  <c r="AE138" i="2"/>
  <c r="AE142" i="2"/>
  <c r="AE146" i="2"/>
  <c r="AE151" i="2"/>
  <c r="AE159" i="2"/>
  <c r="AE175" i="2"/>
  <c r="AE192" i="2"/>
  <c r="AE299" i="2"/>
  <c r="AE215" i="2"/>
  <c r="AE219" i="2"/>
  <c r="AE223" i="2"/>
  <c r="AE227" i="2"/>
  <c r="AE231" i="2"/>
  <c r="AE240" i="2"/>
  <c r="AE249" i="2"/>
  <c r="AE258" i="2"/>
  <c r="AE263" i="2"/>
  <c r="AE272" i="2"/>
  <c r="AE281" i="2"/>
  <c r="AE236" i="2"/>
  <c r="AE245" i="2"/>
  <c r="AE254" i="2"/>
  <c r="AE259" i="2"/>
  <c r="AE268" i="2"/>
  <c r="AE277" i="2"/>
  <c r="AE300" i="2"/>
  <c r="AE303" i="2"/>
  <c r="AE220" i="2"/>
  <c r="AE224" i="2"/>
  <c r="AE228" i="2"/>
  <c r="AE232" i="2"/>
  <c r="AE241" i="2"/>
  <c r="AE250" i="2"/>
  <c r="AE255" i="2"/>
  <c r="AE264" i="2"/>
  <c r="AE273" i="2"/>
  <c r="AE282" i="2"/>
  <c r="AE295" i="2"/>
  <c r="AE213" i="2"/>
  <c r="AE217" i="2"/>
  <c r="AE221" i="2"/>
  <c r="AE225" i="2"/>
  <c r="AE229" i="2"/>
  <c r="AE247" i="2"/>
  <c r="AE287" i="2"/>
  <c r="AE238" i="2"/>
  <c r="AE243" i="2"/>
  <c r="AE252" i="2"/>
  <c r="AE261" i="2"/>
  <c r="AE270" i="2"/>
  <c r="AE275" i="2"/>
  <c r="R428" i="2"/>
  <c r="K428" i="4" s="1"/>
  <c r="AE312" i="2"/>
  <c r="AE321" i="2"/>
  <c r="AE332" i="2"/>
  <c r="AE365" i="2"/>
  <c r="AE372" i="2"/>
  <c r="AE404" i="2"/>
  <c r="AE317" i="2"/>
  <c r="AE337" i="2"/>
  <c r="AE344" i="2"/>
  <c r="R344" i="2"/>
  <c r="K344" i="4" s="1"/>
  <c r="R368" i="2"/>
  <c r="K368" i="4" s="1"/>
  <c r="AE392" i="2"/>
  <c r="AE313" i="2"/>
  <c r="AE328" i="2"/>
  <c r="AE380" i="2"/>
  <c r="AE385" i="2"/>
  <c r="AE397" i="2"/>
  <c r="R384" i="2"/>
  <c r="K384" i="4" s="1"/>
  <c r="AE425" i="2"/>
  <c r="AE308" i="2"/>
  <c r="AE333" i="2"/>
  <c r="R328" i="2"/>
  <c r="K328" i="4" s="1"/>
  <c r="AE373" i="2"/>
  <c r="AE388" i="2"/>
  <c r="AE324" i="2"/>
  <c r="AE340" i="2"/>
  <c r="AE345" i="2"/>
  <c r="AE352" i="2"/>
  <c r="R352" i="2"/>
  <c r="K352" i="4" s="1"/>
  <c r="AE376" i="2"/>
  <c r="AE393" i="2"/>
  <c r="AE320" i="2"/>
  <c r="AE329" i="2"/>
  <c r="AE357" i="2"/>
  <c r="AE364" i="2"/>
  <c r="AE369" i="2"/>
  <c r="AE381" i="2"/>
  <c r="AE428" i="2"/>
  <c r="AE438" i="2"/>
  <c r="AE442" i="2"/>
  <c r="AE448" i="2"/>
  <c r="AE466" i="2"/>
  <c r="AE472" i="2"/>
  <c r="AE482" i="2"/>
  <c r="AE488" i="2"/>
  <c r="AE498" i="2"/>
  <c r="AE445" i="2"/>
  <c r="AE469" i="2"/>
  <c r="R456" i="2"/>
  <c r="K456" i="4" s="1"/>
  <c r="AE485" i="2"/>
  <c r="AE501" i="2"/>
  <c r="AE432" i="2"/>
  <c r="AE446" i="2"/>
  <c r="AE452" i="2"/>
  <c r="AE456" i="2"/>
  <c r="AE460" i="2"/>
  <c r="AE470" i="2"/>
  <c r="AE476" i="2"/>
  <c r="AE486" i="2"/>
  <c r="AE492" i="2"/>
  <c r="AE502" i="2"/>
  <c r="AE429" i="2"/>
  <c r="AE449" i="2"/>
  <c r="R440" i="2"/>
  <c r="K440" i="4" s="1"/>
  <c r="AE473" i="2"/>
  <c r="R460" i="2"/>
  <c r="K460" i="4" s="1"/>
  <c r="AE489" i="2"/>
  <c r="AE510" i="2"/>
  <c r="AE430" i="2"/>
  <c r="AE436" i="2"/>
  <c r="AE440" i="2"/>
  <c r="AE450" i="2"/>
  <c r="AE464" i="2"/>
  <c r="AE474" i="2"/>
  <c r="AE480" i="2"/>
  <c r="AE490" i="2"/>
  <c r="AE496" i="2"/>
  <c r="AE433" i="2"/>
  <c r="R420" i="2"/>
  <c r="K420" i="4" s="1"/>
  <c r="AE453" i="2"/>
  <c r="AE457" i="2"/>
  <c r="AE461" i="2"/>
  <c r="AE477" i="2"/>
  <c r="AE493" i="2"/>
  <c r="AE511" i="2"/>
  <c r="AE422" i="2"/>
  <c r="AE434" i="2"/>
  <c r="AE444" i="2"/>
  <c r="AE454" i="2"/>
  <c r="AE458" i="2"/>
  <c r="AE462" i="2"/>
  <c r="AE468" i="2"/>
  <c r="AE478" i="2"/>
  <c r="AE484" i="2"/>
  <c r="AE494" i="2"/>
  <c r="R393" i="2" l="1"/>
  <c r="K411" i="4"/>
  <c r="R2" i="2"/>
  <c r="K2" i="4" s="1"/>
  <c r="K20" i="4"/>
  <c r="R72" i="2"/>
  <c r="K72" i="4" s="1"/>
  <c r="R360" i="2"/>
  <c r="K360" i="4" s="1"/>
  <c r="R222" i="2"/>
  <c r="K222" i="4" s="1"/>
  <c r="R261" i="2"/>
  <c r="K261" i="4" s="1"/>
  <c r="R57" i="2"/>
  <c r="K57" i="4" s="1"/>
  <c r="R15" i="2"/>
  <c r="K15" i="4" s="1"/>
  <c r="R41" i="2"/>
  <c r="K41" i="4" s="1"/>
  <c r="R310" i="2"/>
  <c r="K310" i="4" s="1"/>
  <c r="R366" i="2"/>
  <c r="K366" i="4" s="1"/>
  <c r="R326" i="2"/>
  <c r="K326" i="4" s="1"/>
  <c r="R375" i="2" l="1"/>
  <c r="K375" i="4" s="1"/>
  <c r="K393" i="4"/>
  <c r="R342" i="2"/>
  <c r="K34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20DC9-CD31-4C21-9A20-41076E45E7B9}" keepAlive="1" name="Query - sales_dataset" description="Connection to the 'sales_dataset' query in the workbook." type="5" refreshedVersion="8" background="1" saveData="1">
    <dbPr connection="Provider=Microsoft.Mashup.OleDb.1;Data Source=$Workbook$;Location=sales_dataset;Extended Properties=&quot;&quot;" command="SELECT * FROM [sales_dataset]"/>
  </connection>
</connections>
</file>

<file path=xl/sharedStrings.xml><?xml version="1.0" encoding="utf-8"?>
<sst xmlns="http://schemas.openxmlformats.org/spreadsheetml/2006/main" count="5655" uniqueCount="912">
  <si>
    <t>OrderID</t>
  </si>
  <si>
    <t>OrderDate</t>
  </si>
  <si>
    <t>SalesChannel</t>
  </si>
  <si>
    <t>CustomerID</t>
  </si>
  <si>
    <t>CustomerName</t>
  </si>
  <si>
    <t>City</t>
  </si>
  <si>
    <t>Region</t>
  </si>
  <si>
    <t>SalespersonID</t>
  </si>
  <si>
    <t>SalespersonName</t>
  </si>
  <si>
    <t>ProductID</t>
  </si>
  <si>
    <t>ProductCategory</t>
  </si>
  <si>
    <t>ProductName</t>
  </si>
  <si>
    <t>Quantity</t>
  </si>
  <si>
    <t>UnitPrice</t>
  </si>
  <si>
    <t>TotalRevenue</t>
  </si>
  <si>
    <t>ORD1000</t>
  </si>
  <si>
    <t>Online</t>
  </si>
  <si>
    <t>CUST168</t>
  </si>
  <si>
    <t>Priya</t>
  </si>
  <si>
    <t/>
  </si>
  <si>
    <t>SP36</t>
  </si>
  <si>
    <t>Kevin</t>
  </si>
  <si>
    <t>PROD73</t>
  </si>
  <si>
    <t>TV</t>
  </si>
  <si>
    <t>ORD1001</t>
  </si>
  <si>
    <t>Offline</t>
  </si>
  <si>
    <t>CUST177</t>
  </si>
  <si>
    <t>Sara</t>
  </si>
  <si>
    <t>Delhi</t>
  </si>
  <si>
    <t>SP7</t>
  </si>
  <si>
    <t>Raj</t>
  </si>
  <si>
    <t>PROD26</t>
  </si>
  <si>
    <t>electronics</t>
  </si>
  <si>
    <t>Shirt</t>
  </si>
  <si>
    <t>ORD1002</t>
  </si>
  <si>
    <t>Store</t>
  </si>
  <si>
    <t>CUST2</t>
  </si>
  <si>
    <t>NORTH</t>
  </si>
  <si>
    <t>SP21</t>
  </si>
  <si>
    <t>Megha</t>
  </si>
  <si>
    <t>PROD76</t>
  </si>
  <si>
    <t>Home</t>
  </si>
  <si>
    <t>ORD1003</t>
  </si>
  <si>
    <t>store</t>
  </si>
  <si>
    <t>CUST193</t>
  </si>
  <si>
    <t>Hyderabad</t>
  </si>
  <si>
    <t>North</t>
  </si>
  <si>
    <t>SP16</t>
  </si>
  <si>
    <t>Sam</t>
  </si>
  <si>
    <t>PROD70</t>
  </si>
  <si>
    <t>ORD1004</t>
  </si>
  <si>
    <t>ONLINE</t>
  </si>
  <si>
    <t>CUST198</t>
  </si>
  <si>
    <t>priya</t>
  </si>
  <si>
    <t>Bengaluru</t>
  </si>
  <si>
    <t>SP30</t>
  </si>
  <si>
    <t>Anita</t>
  </si>
  <si>
    <t>PROD24</t>
  </si>
  <si>
    <t>ORD1005</t>
  </si>
  <si>
    <t>CUST28</t>
  </si>
  <si>
    <t>Amit</t>
  </si>
  <si>
    <t>SP8</t>
  </si>
  <si>
    <t>PROD88</t>
  </si>
  <si>
    <t>Clothing</t>
  </si>
  <si>
    <t>ORD1006</t>
  </si>
  <si>
    <t>CUST200</t>
  </si>
  <si>
    <t>West</t>
  </si>
  <si>
    <t>SP18</t>
  </si>
  <si>
    <t>PROD99</t>
  </si>
  <si>
    <t>Laptop</t>
  </si>
  <si>
    <t>ORD1007</t>
  </si>
  <si>
    <t>CUST109</t>
  </si>
  <si>
    <t>John</t>
  </si>
  <si>
    <t>Mumbai</t>
  </si>
  <si>
    <t>SP29</t>
  </si>
  <si>
    <t>PROD71</t>
  </si>
  <si>
    <t>Sofa</t>
  </si>
  <si>
    <t>ORD1008</t>
  </si>
  <si>
    <t>CUST57</t>
  </si>
  <si>
    <t>mumbai</t>
  </si>
  <si>
    <t>East</t>
  </si>
  <si>
    <t>PROD4</t>
  </si>
  <si>
    <t>Electronics</t>
  </si>
  <si>
    <t>ORD1009</t>
  </si>
  <si>
    <t>CUST46</t>
  </si>
  <si>
    <t>SP10</t>
  </si>
  <si>
    <t>PROD94</t>
  </si>
  <si>
    <t>shirt</t>
  </si>
  <si>
    <t>ORD1010</t>
  </si>
  <si>
    <t>CUST179</t>
  </si>
  <si>
    <t>PROD60</t>
  </si>
  <si>
    <t>ORD1011</t>
  </si>
  <si>
    <t>CUST133</t>
  </si>
  <si>
    <t>SP4</t>
  </si>
  <si>
    <t>PROD91</t>
  </si>
  <si>
    <t>Watch</t>
  </si>
  <si>
    <t>ORD1012</t>
  </si>
  <si>
    <t>CUST119</t>
  </si>
  <si>
    <t>South</t>
  </si>
  <si>
    <t>SP19</t>
  </si>
  <si>
    <t>PROD27</t>
  </si>
  <si>
    <t>ORD1013</t>
  </si>
  <si>
    <t>CUST13</t>
  </si>
  <si>
    <t>SP25</t>
  </si>
  <si>
    <t>PROD57</t>
  </si>
  <si>
    <t>ORD1014</t>
  </si>
  <si>
    <t>CUST143</t>
  </si>
  <si>
    <t>SP40</t>
  </si>
  <si>
    <t>PROD38</t>
  </si>
  <si>
    <t>ORD1015</t>
  </si>
  <si>
    <t>CUST64</t>
  </si>
  <si>
    <t>SP27</t>
  </si>
  <si>
    <t>PROD89</t>
  </si>
  <si>
    <t>ORD1016</t>
  </si>
  <si>
    <t>CUST32</t>
  </si>
  <si>
    <t>PROD9</t>
  </si>
  <si>
    <t>ORD1017</t>
  </si>
  <si>
    <t>CUST117</t>
  </si>
  <si>
    <t>David</t>
  </si>
  <si>
    <t>SP11</t>
  </si>
  <si>
    <t>PROD53</t>
  </si>
  <si>
    <t>ORD1018</t>
  </si>
  <si>
    <t>CUST35</t>
  </si>
  <si>
    <t>PROD87</t>
  </si>
  <si>
    <t>ORD1019</t>
  </si>
  <si>
    <t>SP37</t>
  </si>
  <si>
    <t>PROD64</t>
  </si>
  <si>
    <t>ORD1020</t>
  </si>
  <si>
    <t>CUST171</t>
  </si>
  <si>
    <t>SP47</t>
  </si>
  <si>
    <t>PROD18</t>
  </si>
  <si>
    <t>ORD1021</t>
  </si>
  <si>
    <t>CUST136</t>
  </si>
  <si>
    <t>PROD82</t>
  </si>
  <si>
    <t>ORD1022</t>
  </si>
  <si>
    <t>CUST144</t>
  </si>
  <si>
    <t>SP13</t>
  </si>
  <si>
    <t>PROD39</t>
  </si>
  <si>
    <t>ORD1023</t>
  </si>
  <si>
    <t>CUST153</t>
  </si>
  <si>
    <t>SP49</t>
  </si>
  <si>
    <t>PROD31</t>
  </si>
  <si>
    <t>ORD1024</t>
  </si>
  <si>
    <t>CUST82</t>
  </si>
  <si>
    <t>PROD33</t>
  </si>
  <si>
    <t>ORD1025</t>
  </si>
  <si>
    <t>CUST194</t>
  </si>
  <si>
    <t>Chennai</t>
  </si>
  <si>
    <t>SP32</t>
  </si>
  <si>
    <t>PROD85</t>
  </si>
  <si>
    <t>ORD1026</t>
  </si>
  <si>
    <t>CUST114</t>
  </si>
  <si>
    <t>SP33</t>
  </si>
  <si>
    <t>PROD20</t>
  </si>
  <si>
    <t>ORD1027</t>
  </si>
  <si>
    <t>CUST157</t>
  </si>
  <si>
    <t>PROD92</t>
  </si>
  <si>
    <t>ORD1028</t>
  </si>
  <si>
    <t>CUST185</t>
  </si>
  <si>
    <t>PROD55</t>
  </si>
  <si>
    <t>ORD1029</t>
  </si>
  <si>
    <t>CUST130</t>
  </si>
  <si>
    <t>SP20</t>
  </si>
  <si>
    <t>PROD49</t>
  </si>
  <si>
    <t>ORD1030</t>
  </si>
  <si>
    <t>CUST110</t>
  </si>
  <si>
    <t>PROD10</t>
  </si>
  <si>
    <t>ORD1031</t>
  </si>
  <si>
    <t>CUST141</t>
  </si>
  <si>
    <t>SP2</t>
  </si>
  <si>
    <t>PROD58</t>
  </si>
  <si>
    <t>ORD1032</t>
  </si>
  <si>
    <t>CUST115</t>
  </si>
  <si>
    <t>SP6</t>
  </si>
  <si>
    <t>PROD77</t>
  </si>
  <si>
    <t>ORD1033</t>
  </si>
  <si>
    <t>CUST41</t>
  </si>
  <si>
    <t>SP26</t>
  </si>
  <si>
    <t>PROD62</t>
  </si>
  <si>
    <t>ORD1034</t>
  </si>
  <si>
    <t>CUST191</t>
  </si>
  <si>
    <t>PROD75</t>
  </si>
  <si>
    <t>ORD1035</t>
  </si>
  <si>
    <t>CUST122</t>
  </si>
  <si>
    <t>PROD52</t>
  </si>
  <si>
    <t>ORD1036</t>
  </si>
  <si>
    <t>CUST116</t>
  </si>
  <si>
    <t>PROD69</t>
  </si>
  <si>
    <t>ORD1037</t>
  </si>
  <si>
    <t>CUST67</t>
  </si>
  <si>
    <t>SP14</t>
  </si>
  <si>
    <t>PROD65</t>
  </si>
  <si>
    <t>ORD1038</t>
  </si>
  <si>
    <t>SP38</t>
  </si>
  <si>
    <t>ORD1039</t>
  </si>
  <si>
    <t>SP23</t>
  </si>
  <si>
    <t>PROD54</t>
  </si>
  <si>
    <t>ORD1040</t>
  </si>
  <si>
    <t>CUST164</t>
  </si>
  <si>
    <t>ORD1041</t>
  </si>
  <si>
    <t>CUST71</t>
  </si>
  <si>
    <t>PROD5</t>
  </si>
  <si>
    <t>ORD1042</t>
  </si>
  <si>
    <t>CUST197</t>
  </si>
  <si>
    <t>PROD47</t>
  </si>
  <si>
    <t>ORD1043</t>
  </si>
  <si>
    <t>PROD90</t>
  </si>
  <si>
    <t>ORD1044</t>
  </si>
  <si>
    <t>CUST134</t>
  </si>
  <si>
    <t>SP39</t>
  </si>
  <si>
    <t>ORD1045</t>
  </si>
  <si>
    <t>CUST125</t>
  </si>
  <si>
    <t>SP42</t>
  </si>
  <si>
    <t>ORD1046</t>
  </si>
  <si>
    <t>CUST161</t>
  </si>
  <si>
    <t>SP44</t>
  </si>
  <si>
    <t>ORD1047</t>
  </si>
  <si>
    <t>CUST62</t>
  </si>
  <si>
    <t>SP31</t>
  </si>
  <si>
    <t>PROD11</t>
  </si>
  <si>
    <t>ORD1048</t>
  </si>
  <si>
    <t>PROD14</t>
  </si>
  <si>
    <t>ORD1049</t>
  </si>
  <si>
    <t>CUST113</t>
  </si>
  <si>
    <t>SP35</t>
  </si>
  <si>
    <t>ORD1050</t>
  </si>
  <si>
    <t>CUST20</t>
  </si>
  <si>
    <t>SP1</t>
  </si>
  <si>
    <t>PROD32</t>
  </si>
  <si>
    <t>ORD1051</t>
  </si>
  <si>
    <t>CUST183</t>
  </si>
  <si>
    <t>ORD1052</t>
  </si>
  <si>
    <t>CUST74</t>
  </si>
  <si>
    <t>SP28</t>
  </si>
  <si>
    <t>PROD86</t>
  </si>
  <si>
    <t>ORD1053</t>
  </si>
  <si>
    <t>CUST61</t>
  </si>
  <si>
    <t>SP9</t>
  </si>
  <si>
    <t>PROD46</t>
  </si>
  <si>
    <t>ORD1054</t>
  </si>
  <si>
    <t>CUST70</t>
  </si>
  <si>
    <t>SP17</t>
  </si>
  <si>
    <t>PROD22</t>
  </si>
  <si>
    <t>ORD1055</t>
  </si>
  <si>
    <t>CUST86</t>
  </si>
  <si>
    <t>PROD83</t>
  </si>
  <si>
    <t>ORD1056</t>
  </si>
  <si>
    <t>SP24</t>
  </si>
  <si>
    <t>PROD79</t>
  </si>
  <si>
    <t>ORD1057</t>
  </si>
  <si>
    <t>CUST139</t>
  </si>
  <si>
    <t>PROD6</t>
  </si>
  <si>
    <t>ORD1058</t>
  </si>
  <si>
    <t>CUST21</t>
  </si>
  <si>
    <t>ORD1059</t>
  </si>
  <si>
    <t>CUST36</t>
  </si>
  <si>
    <t>ORD1060</t>
  </si>
  <si>
    <t>CUST39</t>
  </si>
  <si>
    <t>SP3</t>
  </si>
  <si>
    <t>ORD1061</t>
  </si>
  <si>
    <t>CUST60</t>
  </si>
  <si>
    <t>ORD1062</t>
  </si>
  <si>
    <t>CUST99</t>
  </si>
  <si>
    <t>ORD1063</t>
  </si>
  <si>
    <t>CUST178</t>
  </si>
  <si>
    <t>PROD97</t>
  </si>
  <si>
    <t>ORD1064</t>
  </si>
  <si>
    <t>CUST40</t>
  </si>
  <si>
    <t>PROD43</t>
  </si>
  <si>
    <t>ORD1065</t>
  </si>
  <si>
    <t>CUST181</t>
  </si>
  <si>
    <t>PROD56</t>
  </si>
  <si>
    <t>ORD1066</t>
  </si>
  <si>
    <t>CUST55</t>
  </si>
  <si>
    <t>ORD1067</t>
  </si>
  <si>
    <t>CUST17</t>
  </si>
  <si>
    <t>PROD2</t>
  </si>
  <si>
    <t>ORD1068</t>
  </si>
  <si>
    <t>CUST107</t>
  </si>
  <si>
    <t>PROD13</t>
  </si>
  <si>
    <t>ORD1069</t>
  </si>
  <si>
    <t>CUST105</t>
  </si>
  <si>
    <t>SP5</t>
  </si>
  <si>
    <t>PROD34</t>
  </si>
  <si>
    <t>ORD1070</t>
  </si>
  <si>
    <t>CUST85</t>
  </si>
  <si>
    <t>PROD29</t>
  </si>
  <si>
    <t>ORD1071</t>
  </si>
  <si>
    <t>PROD66</t>
  </si>
  <si>
    <t>ORD1072</t>
  </si>
  <si>
    <t>CUST120</t>
  </si>
  <si>
    <t>PROD96</t>
  </si>
  <si>
    <t>ORD1073</t>
  </si>
  <si>
    <t>PROD67</t>
  </si>
  <si>
    <t>ORD1074</t>
  </si>
  <si>
    <t>CUST16</t>
  </si>
  <si>
    <t>PROD72</t>
  </si>
  <si>
    <t>ORD1075</t>
  </si>
  <si>
    <t>CUST53</t>
  </si>
  <si>
    <t>ORD1076</t>
  </si>
  <si>
    <t>CUST108</t>
  </si>
  <si>
    <t>ORD1077</t>
  </si>
  <si>
    <t>CUST100</t>
  </si>
  <si>
    <t>PROD74</t>
  </si>
  <si>
    <t>ORD1078</t>
  </si>
  <si>
    <t>ORD1079</t>
  </si>
  <si>
    <t>CUST150</t>
  </si>
  <si>
    <t>ORD1080</t>
  </si>
  <si>
    <t>PROD48</t>
  </si>
  <si>
    <t>ORD1081</t>
  </si>
  <si>
    <t>CUST6</t>
  </si>
  <si>
    <t>PROD51</t>
  </si>
  <si>
    <t>ORD1082</t>
  </si>
  <si>
    <t>CUST196</t>
  </si>
  <si>
    <t>ORD1083</t>
  </si>
  <si>
    <t>CUST148</t>
  </si>
  <si>
    <t>ORD1084</t>
  </si>
  <si>
    <t>CUST98</t>
  </si>
  <si>
    <t>SP22</t>
  </si>
  <si>
    <t>ORD1085</t>
  </si>
  <si>
    <t>CUST123</t>
  </si>
  <si>
    <t>ORD1086</t>
  </si>
  <si>
    <t>ORD1087</t>
  </si>
  <si>
    <t>CUST91</t>
  </si>
  <si>
    <t>ORD1088</t>
  </si>
  <si>
    <t>CUST77</t>
  </si>
  <si>
    <t>ORD1089</t>
  </si>
  <si>
    <t>PROD45</t>
  </si>
  <si>
    <t>ORD1090</t>
  </si>
  <si>
    <t>ORD1091</t>
  </si>
  <si>
    <t>ORD1092</t>
  </si>
  <si>
    <t>CUST138</t>
  </si>
  <si>
    <t>ORD1093</t>
  </si>
  <si>
    <t>CUST192</t>
  </si>
  <si>
    <t>ORD1094</t>
  </si>
  <si>
    <t>CUST189</t>
  </si>
  <si>
    <t>ORD1095</t>
  </si>
  <si>
    <t>CUST140</t>
  </si>
  <si>
    <t>ORD1096</t>
  </si>
  <si>
    <t>CUST155</t>
  </si>
  <si>
    <t>PROD15</t>
  </si>
  <si>
    <t>ORD1097</t>
  </si>
  <si>
    <t>ORD1098</t>
  </si>
  <si>
    <t>SP46</t>
  </si>
  <si>
    <t>PROD19</t>
  </si>
  <si>
    <t>ORD1099</t>
  </si>
  <si>
    <t>ORD1100</t>
  </si>
  <si>
    <t>PROD40</t>
  </si>
  <si>
    <t>ORD1101</t>
  </si>
  <si>
    <t>CUST112</t>
  </si>
  <si>
    <t>SP34</t>
  </si>
  <si>
    <t>PROD44</t>
  </si>
  <si>
    <t>ORD1102</t>
  </si>
  <si>
    <t>PROD59</t>
  </si>
  <si>
    <t>ORD1103</t>
  </si>
  <si>
    <t>CUST8</t>
  </si>
  <si>
    <t>ORD1104</t>
  </si>
  <si>
    <t>ORD1105</t>
  </si>
  <si>
    <t>CUST87</t>
  </si>
  <si>
    <t>ORD1106</t>
  </si>
  <si>
    <t>CUST172</t>
  </si>
  <si>
    <t>ORD1107</t>
  </si>
  <si>
    <t>CUST174</t>
  </si>
  <si>
    <t>PROD61</t>
  </si>
  <si>
    <t>ORD1108</t>
  </si>
  <si>
    <t>CUST104</t>
  </si>
  <si>
    <t>ORD1109</t>
  </si>
  <si>
    <t>CUST186</t>
  </si>
  <si>
    <t>ORD1110</t>
  </si>
  <si>
    <t>CUST43</t>
  </si>
  <si>
    <t>PROD93</t>
  </si>
  <si>
    <t>ORD1111</t>
  </si>
  <si>
    <t>ORD1112</t>
  </si>
  <si>
    <t>CUST33</t>
  </si>
  <si>
    <t>ORD1113</t>
  </si>
  <si>
    <t>CUST160</t>
  </si>
  <si>
    <t>SP48</t>
  </si>
  <si>
    <t>PROD41</t>
  </si>
  <si>
    <t>ORD1114</t>
  </si>
  <si>
    <t>CUST137</t>
  </si>
  <si>
    <t>ORD1115</t>
  </si>
  <si>
    <t>CUST7</t>
  </si>
  <si>
    <t>ORD1116</t>
  </si>
  <si>
    <t>CUST101</t>
  </si>
  <si>
    <t>ORD1117</t>
  </si>
  <si>
    <t>CUST152</t>
  </si>
  <si>
    <t>ORD1118</t>
  </si>
  <si>
    <t>CUST145</t>
  </si>
  <si>
    <t>ORD1119</t>
  </si>
  <si>
    <t>CUST170</t>
  </si>
  <si>
    <t>PROD3</t>
  </si>
  <si>
    <t>ORD1120</t>
  </si>
  <si>
    <t>ORD1121</t>
  </si>
  <si>
    <t>CUST22</t>
  </si>
  <si>
    <t>ORD1122</t>
  </si>
  <si>
    <t>CUST165</t>
  </si>
  <si>
    <t>ORD1123</t>
  </si>
  <si>
    <t>ORD1124</t>
  </si>
  <si>
    <t>ORD1125</t>
  </si>
  <si>
    <t>PROD95</t>
  </si>
  <si>
    <t>ORD1126</t>
  </si>
  <si>
    <t>CUST47</t>
  </si>
  <si>
    <t>ORD1127</t>
  </si>
  <si>
    <t>ORD1128</t>
  </si>
  <si>
    <t>PROD23</t>
  </si>
  <si>
    <t>ORD1129</t>
  </si>
  <si>
    <t>ORD1130</t>
  </si>
  <si>
    <t>CUST84</t>
  </si>
  <si>
    <t>PROD21</t>
  </si>
  <si>
    <t>ORD1131</t>
  </si>
  <si>
    <t>ORD1132</t>
  </si>
  <si>
    <t>ORD1133</t>
  </si>
  <si>
    <t>ORD1134</t>
  </si>
  <si>
    <t>SP45</t>
  </si>
  <si>
    <t>ORD1135</t>
  </si>
  <si>
    <t>CUST195</t>
  </si>
  <si>
    <t>SP41</t>
  </si>
  <si>
    <t>PROD30</t>
  </si>
  <si>
    <t>ORD1136</t>
  </si>
  <si>
    <t>ORD1137</t>
  </si>
  <si>
    <t>CUST72</t>
  </si>
  <si>
    <t>PROD81</t>
  </si>
  <si>
    <t>ORD1138</t>
  </si>
  <si>
    <t>ORD1139</t>
  </si>
  <si>
    <t>ORD1140</t>
  </si>
  <si>
    <t>CUST65</t>
  </si>
  <si>
    <t>ORD1141</t>
  </si>
  <si>
    <t>SP50</t>
  </si>
  <si>
    <t>ORD1142</t>
  </si>
  <si>
    <t>CUST121</t>
  </si>
  <si>
    <t>ORD1143</t>
  </si>
  <si>
    <t>CUST5</t>
  </si>
  <si>
    <t>ORD1144</t>
  </si>
  <si>
    <t>SP15</t>
  </si>
  <si>
    <t>ORD1145</t>
  </si>
  <si>
    <t>ORD1146</t>
  </si>
  <si>
    <t>CUST14</t>
  </si>
  <si>
    <t>ORD1147</t>
  </si>
  <si>
    <t>CUST90</t>
  </si>
  <si>
    <t>ORD1148</t>
  </si>
  <si>
    <t>CUST58</t>
  </si>
  <si>
    <t>ORD1149</t>
  </si>
  <si>
    <t>CUST167</t>
  </si>
  <si>
    <t>ORD1150</t>
  </si>
  <si>
    <t>CUST18</t>
  </si>
  <si>
    <t>ORD1151</t>
  </si>
  <si>
    <t>PROD50</t>
  </si>
  <si>
    <t>ORD1152</t>
  </si>
  <si>
    <t>PROD1</t>
  </si>
  <si>
    <t>ORD1153</t>
  </si>
  <si>
    <t>CUST11</t>
  </si>
  <si>
    <t>ORD1154</t>
  </si>
  <si>
    <t>PROD28</t>
  </si>
  <si>
    <t>ORD1155</t>
  </si>
  <si>
    <t>ORD1156</t>
  </si>
  <si>
    <t>PROD36</t>
  </si>
  <si>
    <t>ORD1157</t>
  </si>
  <si>
    <t>CUST52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</si>
  <si>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</si>
  <si>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</si>
  <si>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</si>
  <si>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</si>
  <si>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</si>
  <si>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</si>
  <si>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</si>
  <si>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</si>
  <si>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CUST30</t>
  </si>
  <si>
    <t>PROD42</t>
  </si>
  <si>
    <t>ORD1166</t>
  </si>
  <si>
    <t>ORD1167</t>
  </si>
  <si>
    <t>CUST56</t>
  </si>
  <si>
    <t>ORD1168</t>
  </si>
  <si>
    <t>ORD1169</t>
  </si>
  <si>
    <t>CUST180</t>
  </si>
  <si>
    <t>ORD1170</t>
  </si>
  <si>
    <t>CUST66</t>
  </si>
  <si>
    <t>ORD1171</t>
  </si>
  <si>
    <t>PROD63</t>
  </si>
  <si>
    <t>ORD1172</t>
  </si>
  <si>
    <t>CUST95</t>
  </si>
  <si>
    <t>PROD68</t>
  </si>
  <si>
    <t>ORD1173</t>
  </si>
  <si>
    <t>ORD1174</t>
  </si>
  <si>
    <t>CUST156</t>
  </si>
  <si>
    <t>ORD1175</t>
  </si>
  <si>
    <t>ORD1176</t>
  </si>
  <si>
    <t>ORD1177</t>
  </si>
  <si>
    <t>CUST184</t>
  </si>
  <si>
    <t>ORD1178</t>
  </si>
  <si>
    <t>ORD1179</t>
  </si>
  <si>
    <t>ORD1180</t>
  </si>
  <si>
    <t>CUST42</t>
  </si>
  <si>
    <t>ORD1181</t>
  </si>
  <si>
    <t>CUST80</t>
  </si>
  <si>
    <t>ORD1182</t>
  </si>
  <si>
    <t>ORD1183</t>
  </si>
  <si>
    <t>CUST149</t>
  </si>
  <si>
    <t>ORD1184</t>
  </si>
  <si>
    <t>PROD80</t>
  </si>
  <si>
    <t>ORD1185</t>
  </si>
  <si>
    <t>ORD1186</t>
  </si>
  <si>
    <t>SP43</t>
  </si>
  <si>
    <t>ORD1187</t>
  </si>
  <si>
    <t>ORD1188</t>
  </si>
  <si>
    <t>CUST97</t>
  </si>
  <si>
    <t>ORD1189</t>
  </si>
  <si>
    <t>CUST102</t>
  </si>
  <si>
    <t>ORD1190</t>
  </si>
  <si>
    <t>ORD1191</t>
  </si>
  <si>
    <t>CUST51</t>
  </si>
  <si>
    <t>SP12</t>
  </si>
  <si>
    <t>ORD1192</t>
  </si>
  <si>
    <t>ORD1193</t>
  </si>
  <si>
    <t>ORD1194</t>
  </si>
  <si>
    <t>ORD1195</t>
  </si>
  <si>
    <t>PROD16</t>
  </si>
  <si>
    <t>ORD1196</t>
  </si>
  <si>
    <t>CUST63</t>
  </si>
  <si>
    <t>ORD1197</t>
  </si>
  <si>
    <t>CUST27</t>
  </si>
  <si>
    <t>ORD1198</t>
  </si>
  <si>
    <t>ORD1199</t>
  </si>
  <si>
    <t>ORD1200</t>
  </si>
  <si>
    <t>CUST78</t>
  </si>
  <si>
    <t>ORD1201</t>
  </si>
  <si>
    <t>CUST176</t>
  </si>
  <si>
    <t>ORD1202</t>
  </si>
  <si>
    <t>CUST154</t>
  </si>
  <si>
    <t>ORD1203</t>
  </si>
  <si>
    <t>CUST31</t>
  </si>
  <si>
    <t>ORD1204</t>
  </si>
  <si>
    <t>ORD1205</t>
  </si>
  <si>
    <t>ORD1206</t>
  </si>
  <si>
    <t>CUST89</t>
  </si>
  <si>
    <t>ORD1207</t>
  </si>
  <si>
    <t>ORD1208</t>
  </si>
  <si>
    <t>ORD1209</t>
  </si>
  <si>
    <t>ORD1210</t>
  </si>
  <si>
    <t>ORD1211</t>
  </si>
  <si>
    <t>ORD1212</t>
  </si>
  <si>
    <t>ORD1213</t>
  </si>
  <si>
    <t>CUST166</t>
  </si>
  <si>
    <t>ORD1214</t>
  </si>
  <si>
    <t>CUST88</t>
  </si>
  <si>
    <t>ORD1215</t>
  </si>
  <si>
    <t>CUST4</t>
  </si>
  <si>
    <t>ORD1216</t>
  </si>
  <si>
    <t>ORD1217</t>
  </si>
  <si>
    <t>CUST126</t>
  </si>
  <si>
    <t>ORD1218</t>
  </si>
  <si>
    <t>ORD1219</t>
  </si>
  <si>
    <t>CUST111</t>
  </si>
  <si>
    <t>ORD1220</t>
  </si>
  <si>
    <t>CUST93</t>
  </si>
  <si>
    <t>ORD1221</t>
  </si>
  <si>
    <t>CUST163</t>
  </si>
  <si>
    <t>PROD37</t>
  </si>
  <si>
    <t>ORD1222</t>
  </si>
  <si>
    <t>CUST118</t>
  </si>
  <si>
    <t>ORD1223</t>
  </si>
  <si>
    <t>CUST182</t>
  </si>
  <si>
    <t>ORD1224</t>
  </si>
  <si>
    <t>ORD1225</t>
  </si>
  <si>
    <t>ORD1226</t>
  </si>
  <si>
    <t>ORD1227</t>
  </si>
  <si>
    <t>CUST188</t>
  </si>
  <si>
    <t>PROD7</t>
  </si>
  <si>
    <t>ORD1228</t>
  </si>
  <si>
    <t>ORD1229</t>
  </si>
  <si>
    <t>ORD1230</t>
  </si>
  <si>
    <t>ORD1231</t>
  </si>
  <si>
    <t>CUST158</t>
  </si>
  <si>
    <t>ORD1232</t>
  </si>
  <si>
    <t>PROD25</t>
  </si>
  <si>
    <t>ORD1233</t>
  </si>
  <si>
    <t>CUST199</t>
  </si>
  <si>
    <t>ORD1234</t>
  </si>
  <si>
    <t>CUST124</t>
  </si>
  <si>
    <t>ORD1235</t>
  </si>
  <si>
    <t>ORD1236</t>
  </si>
  <si>
    <t>PROD84</t>
  </si>
  <si>
    <t>ORD1237</t>
  </si>
  <si>
    <t>ORD1238</t>
  </si>
  <si>
    <t>ORD1239</t>
  </si>
  <si>
    <t>CUST69</t>
  </si>
  <si>
    <t>ORD1240</t>
  </si>
  <si>
    <t>CUST83</t>
  </si>
  <si>
    <t>ORD1241</t>
  </si>
  <si>
    <t>ORD1242</t>
  </si>
  <si>
    <t>CUST23</t>
  </si>
  <si>
    <t>ORD1243</t>
  </si>
  <si>
    <t>ORD1244</t>
  </si>
  <si>
    <t>ORD1245</t>
  </si>
  <si>
    <t>ORD1246</t>
  </si>
  <si>
    <t>ORD1247</t>
  </si>
  <si>
    <t>ORD1248</t>
  </si>
  <si>
    <t>CUST146</t>
  </si>
  <si>
    <t>ORD1249</t>
  </si>
  <si>
    <t>PROD98</t>
  </si>
  <si>
    <t>ORD1250</t>
  </si>
  <si>
    <t>ORD1251</t>
  </si>
  <si>
    <t>ORD1252</t>
  </si>
  <si>
    <t>ORD1253</t>
  </si>
  <si>
    <t>ORD1254</t>
  </si>
  <si>
    <t>CUST127</t>
  </si>
  <si>
    <t>ORD1255</t>
  </si>
  <si>
    <t>ORD1256</t>
  </si>
  <si>
    <t>ORD1257</t>
  </si>
  <si>
    <t>ORD1258</t>
  </si>
  <si>
    <t>PROD100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</si>
  <si>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</si>
  <si>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</si>
  <si>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</si>
  <si>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</si>
  <si>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</si>
  <si>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</si>
  <si>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</si>
  <si>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</si>
  <si>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</si>
  <si>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CUST3</t>
  </si>
  <si>
    <t>ORD1268</t>
  </si>
  <si>
    <t>ORD1269</t>
  </si>
  <si>
    <t>CUST49</t>
  </si>
  <si>
    <t>ORD1270</t>
  </si>
  <si>
    <t>PROD35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</si>
  <si>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</si>
  <si>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</si>
  <si>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</si>
  <si>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</si>
  <si>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</si>
  <si>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</si>
  <si>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</si>
  <si>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</si>
  <si>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</si>
  <si>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</si>
  <si>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</si>
  <si>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</si>
  <si>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</si>
  <si>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</si>
  <si>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</si>
  <si>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CUST24</t>
  </si>
  <si>
    <t>ORD1286</t>
  </si>
  <si>
    <t>CUST76</t>
  </si>
  <si>
    <t>ORD1287</t>
  </si>
  <si>
    <t>ORD1288</t>
  </si>
  <si>
    <t>ORD1289</t>
  </si>
  <si>
    <t>ORD1290</t>
  </si>
  <si>
    <t>ORD1291</t>
  </si>
  <si>
    <t>CUST79</t>
  </si>
  <si>
    <t>ORD1292</t>
  </si>
  <si>
    <t>ORD1293</t>
  </si>
  <si>
    <t>PROD12</t>
  </si>
  <si>
    <t>ORD1294</t>
  </si>
  <si>
    <t>ORD1295</t>
  </si>
  <si>
    <t>ORD1296</t>
  </si>
  <si>
    <t>CUST142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</si>
  <si>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</si>
  <si>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</si>
  <si>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</si>
  <si>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</si>
  <si>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</si>
  <si>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</si>
  <si>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</si>
  <si>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</si>
  <si>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</si>
  <si>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</si>
  <si>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</si>
  <si>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</si>
  <si>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</si>
  <si>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</si>
  <si>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</si>
  <si>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</si>
  <si>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CUST50</t>
  </si>
  <si>
    <t>PROD8</t>
  </si>
  <si>
    <t>ORD1313</t>
  </si>
  <si>
    <t>CUST81</t>
  </si>
  <si>
    <t>ORD1314</t>
  </si>
  <si>
    <t>ORD1315</t>
  </si>
  <si>
    <t>ORD1316</t>
  </si>
  <si>
    <t>ORD1317</t>
  </si>
  <si>
    <t>ORD1318</t>
  </si>
  <si>
    <t>ORD1319</t>
  </si>
  <si>
    <t>CUST48</t>
  </si>
  <si>
    <t>ORD1320</t>
  </si>
  <si>
    <t>ORD1321</t>
  </si>
  <si>
    <t>ORD1322</t>
  </si>
  <si>
    <t>CUST190</t>
  </si>
  <si>
    <t>ORD1323</t>
  </si>
  <si>
    <t>ORD1324</t>
  </si>
  <si>
    <t>ORD1325</t>
  </si>
  <si>
    <t>ORD1326</t>
  </si>
  <si>
    <t>CUST151</t>
  </si>
  <si>
    <t>ORD1327</t>
  </si>
  <si>
    <t>ORD1328</t>
  </si>
  <si>
    <t>CUST135</t>
  </si>
  <si>
    <t>ORD1329</t>
  </si>
  <si>
    <t>ORD1330</t>
  </si>
  <si>
    <t>CUST73</t>
  </si>
  <si>
    <t>ORD1331</t>
  </si>
  <si>
    <t>CUST26</t>
  </si>
  <si>
    <t>ORD1332</t>
  </si>
  <si>
    <t>ORD1333</t>
  </si>
  <si>
    <t>ORD1334</t>
  </si>
  <si>
    <t>CUST59</t>
  </si>
  <si>
    <t>ORD1335</t>
  </si>
  <si>
    <t>PROD17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</si>
  <si>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</si>
  <si>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</si>
  <si>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</si>
  <si>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</si>
  <si>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</si>
  <si>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</si>
  <si>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</si>
  <si>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</si>
  <si>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CUST12</t>
  </si>
  <si>
    <t>ORD1344</t>
  </si>
  <si>
    <t>ORD1345</t>
  </si>
  <si>
    <t>ORD1346</t>
  </si>
  <si>
    <t>CUST75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</si>
  <si>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</si>
  <si>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</si>
  <si>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</si>
  <si>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</si>
  <si>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</si>
  <si>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</si>
  <si>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</si>
  <si>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</si>
  <si>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CUST147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</si>
  <si>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</si>
  <si>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</si>
  <si>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</si>
  <si>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</si>
  <si>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</si>
  <si>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</si>
  <si>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</si>
  <si>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</si>
  <si>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</si>
  <si>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</si>
  <si>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</si>
  <si>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</si>
  <si>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CUST103</t>
  </si>
  <si>
    <t>ORD1367</t>
  </si>
  <si>
    <t>ORD1368</t>
  </si>
  <si>
    <t>CUST19</t>
  </si>
  <si>
    <t>ORD1369</t>
  </si>
  <si>
    <t>ORD1370</t>
  </si>
  <si>
    <t>CUST162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</si>
  <si>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</si>
  <si>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</si>
  <si>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</si>
  <si>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</si>
  <si>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</si>
  <si>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</si>
  <si>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</si>
  <si>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</si>
  <si>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</si>
  <si>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</si>
  <si>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</si>
  <si>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</si>
  <si>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</si>
  <si>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</si>
  <si>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</si>
  <si>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CUST159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</si>
  <si>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</si>
  <si>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</si>
  <si>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</si>
  <si>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</si>
  <si>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</si>
  <si>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</si>
  <si>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</si>
  <si>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</si>
  <si>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</si>
  <si>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</si>
  <si>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</si>
  <si>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</si>
  <si>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</si>
  <si>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</si>
  <si>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</si>
  <si>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</si>
  <si>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</si>
  <si>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</si>
  <si>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CUST54</t>
  </si>
  <si>
    <t>ORD1404</t>
  </si>
  <si>
    <t>ORD1405</t>
  </si>
  <si>
    <t>ORD1406</t>
  </si>
  <si>
    <t>CUST68</t>
  </si>
  <si>
    <t>ORD1407</t>
  </si>
  <si>
    <t>ORD1408</t>
  </si>
  <si>
    <t>ORD1409</t>
  </si>
  <si>
    <t>ORD1410</t>
  </si>
  <si>
    <t>ORD1411</t>
  </si>
  <si>
    <t>CUST45</t>
  </si>
  <si>
    <t>ORD1412</t>
  </si>
  <si>
    <t>ORD1413</t>
  </si>
  <si>
    <t>ORD1414</t>
  </si>
  <si>
    <t>ORD1415</t>
  </si>
  <si>
    <t>CUST1</t>
  </si>
  <si>
    <t>ORD1416</t>
  </si>
  <si>
    <t>ORD1417</t>
  </si>
  <si>
    <t>ORD1418</t>
  </si>
  <si>
    <t>ORD1419</t>
  </si>
  <si>
    <t>ORD1420</t>
  </si>
  <si>
    <t>ORD1421</t>
  </si>
  <si>
    <t>ORD1422</t>
  </si>
  <si>
    <t>CUST9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</si>
  <si>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</si>
  <si>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</si>
  <si>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</si>
  <si>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</si>
  <si>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</si>
  <si>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</si>
  <si>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</si>
  <si>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</si>
  <si>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</si>
  <si>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</si>
  <si>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</si>
  <si>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</si>
  <si>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</si>
  <si>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</si>
  <si>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</si>
  <si>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</si>
  <si>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</si>
  <si>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</si>
  <si>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</si>
  <si>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</si>
  <si>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</si>
  <si>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</si>
  <si>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CUST37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</si>
  <si>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</si>
  <si>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</si>
  <si>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</si>
  <si>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</si>
  <si>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</si>
  <si>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</si>
  <si>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</si>
  <si>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</si>
  <si>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</si>
  <si>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</si>
  <si>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</si>
  <si>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</si>
  <si>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</si>
  <si>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</si>
  <si>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</si>
  <si>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</si>
  <si>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</si>
  <si>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CUST129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</si>
  <si>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</si>
  <si>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</si>
  <si>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</si>
  <si>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</si>
  <si>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</si>
  <si>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</si>
  <si>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</si>
  <si>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</si>
  <si>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</si>
  <si>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</si>
  <si>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</si>
  <si>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</si>
  <si>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</si>
  <si>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</si>
  <si>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</si>
  <si>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CUST173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</si>
  <si>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</si>
  <si>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</si>
  <si>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</si>
  <si>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</si>
  <si>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</si>
  <si>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</si>
  <si>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</si>
  <si>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</si>
  <si>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</si>
  <si>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</si>
  <si>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</si>
  <si>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</si>
  <si>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</si>
  <si>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</si>
  <si>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</si>
  <si>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</si>
  <si>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</si>
  <si>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</si>
  <si>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</si>
  <si>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</si>
  <si>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</si>
  <si>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</si>
  <si>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</si>
  <si>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Column1</t>
  </si>
  <si>
    <t>Column2</t>
  </si>
  <si>
    <t>SalesChannel cleaned</t>
  </si>
  <si>
    <t>City cleaned</t>
  </si>
  <si>
    <t>CustomerName cleaned</t>
  </si>
  <si>
    <t>Region cleaned</t>
  </si>
  <si>
    <t>ProductCategory cleaned</t>
  </si>
  <si>
    <t>Column3</t>
  </si>
  <si>
    <t>Column4</t>
  </si>
  <si>
    <t>Column5</t>
  </si>
  <si>
    <t>Column6</t>
  </si>
  <si>
    <t>Column7</t>
  </si>
  <si>
    <t>Total Reveneue Corrected</t>
  </si>
  <si>
    <t>TotalRevenue2</t>
  </si>
  <si>
    <t>UnitPrice2</t>
  </si>
  <si>
    <t>Column8</t>
  </si>
  <si>
    <t>Column9</t>
  </si>
  <si>
    <t>Column10</t>
  </si>
  <si>
    <t>Column11</t>
  </si>
  <si>
    <t>Column12</t>
  </si>
  <si>
    <t>Sales Person Name</t>
  </si>
  <si>
    <t>Column13</t>
  </si>
  <si>
    <t>Column14</t>
  </si>
  <si>
    <t>Column15</t>
  </si>
  <si>
    <t>Column16</t>
  </si>
  <si>
    <t>Column17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</si>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</sst>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FB391F-00C0-4C43-B4B9-3B9D192F26FE}" autoFormatId="16" applyNumberFormats="0" applyBorderFormats="0" applyFontFormats="0" applyPatternFormats="0" applyAlignmentFormats="0" applyWidthHeightFormats="0">
  <queryTableRefresh nextId="40" unboundColumnsLeft="2" unboundColumnsRight="3">
    <queryTableFields count="31">
      <queryTableField id="1" dataBound="0" tableColumnId="1"/>
      <queryTableField id="2" dataBound="0" tableColumnId="2"/>
      <queryTableField id="3" name="SalesChannel" tableColumnId="3"/>
      <queryTableField id="17" dataBound="0" tableColumnId="17"/>
      <queryTableField id="4" dataBound="0" tableColumnId="4"/>
      <queryTableField id="5" name="CustomerName" tableColumnId="5"/>
      <queryTableField id="19" dataBound="0" tableColumnId="20"/>
      <queryTableField id="6" name="City" tableColumnId="6"/>
      <queryTableField id="18" dataBound="0" tableColumnId="18"/>
      <queryTableField id="7" name="Region" tableColumnId="7"/>
      <queryTableField id="20" dataBound="0" tableColumnId="21"/>
      <queryTableField id="21" dataBound="0" tableColumnId="22"/>
      <queryTableField id="8" dataBound="0" tableColumnId="8"/>
      <queryTableField id="9" name="SalespersonName" tableColumnId="9"/>
      <queryTableField id="22" dataBound="0" tableColumnId="23"/>
      <queryTableField id="10" dataBound="0" tableColumnId="10"/>
      <queryTableField id="11" name="ProductCategory" tableColumnId="11"/>
      <queryTableField id="23" dataBound="0" tableColumnId="24"/>
      <queryTableField id="24" dataBound="0" tableColumnId="25"/>
      <queryTableField id="12" name="ProductName" tableColumnId="12"/>
      <queryTableField id="26" dataBound="0" tableColumnId="27"/>
      <queryTableField id="13" name="Quantity" tableColumnId="13"/>
      <queryTableField id="32" dataBound="0" tableColumnId="33"/>
      <queryTableField id="33" dataBound="0" tableColumnId="34"/>
      <queryTableField id="14" name="UnitPrice" tableColumnId="14"/>
      <queryTableField id="35" dataBound="0" tableColumnId="36"/>
      <queryTableField id="34" dataBound="0" tableColumnId="35"/>
      <queryTableField id="15" name="TotalRevenue" tableColumnId="15"/>
      <queryTableField id="37" dataBound="0" tableColumnId="38"/>
      <queryTableField id="38" dataBound="0" tableColumnId="39"/>
      <queryTableField id="39" dataBound="0" tableColumnId="40"/>
    </queryTableFields>
    <queryTableDeletedFields count="5">
      <deletedField name="SalespersonID"/>
      <deletedField name="OrderID"/>
      <deletedField name="OrderDate"/>
      <deletedField name="CustomerID"/>
      <deletedField name="Product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BCCA4-2EEB-47E0-B756-3377B2EE9788}" name="sales_dataset" displayName="sales_dataset" ref="A1:AE511" tableType="queryTable" totalsRowShown="0">
  <autoFilter ref="A1:AE511" xr:uid="{9A7BCCA4-2EEB-47E0-B756-3377B2EE9788}"/>
  <tableColumns count="31">
    <tableColumn id="1" xr3:uid="{41BF59F9-4CBC-4733-938B-691228B4D907}" uniqueName="1" name="Column7" queryTableFieldId="1" dataDxfId="27"/>
    <tableColumn id="2" xr3:uid="{15AFF751-243E-4363-A169-9A1D2DFEA4C9}" uniqueName="2" name="Column8" queryTableFieldId="2" dataDxfId="26"/>
    <tableColumn id="3" xr3:uid="{E410F532-1F38-468E-9D4C-52AFE0137964}" uniqueName="3" name="SalesChannel" queryTableFieldId="3" dataDxfId="3"/>
    <tableColumn id="17" xr3:uid="{D08A93F2-7427-4B29-8ECC-733082A1FFAB}" uniqueName="17" name="Column9" queryTableFieldId="17" dataDxfId="17">
      <calculatedColumnFormula>IF(TRIM(sales_dataset[[#This Row],[SalesChannel]])="",C3,PROPER(TRIM(sales_dataset[[#This Row],[SalesChannel]])))</calculatedColumnFormula>
    </tableColumn>
    <tableColumn id="4" xr3:uid="{04B3B9CD-C9DA-4ECC-95E0-DE77D2A5D7EC}" uniqueName="4" name="Column10" queryTableFieldId="4" dataDxfId="25"/>
    <tableColumn id="5" xr3:uid="{E3924325-354A-46AE-B1CD-9354995E9511}" uniqueName="5" name="CustomerName" queryTableFieldId="5" dataDxfId="14"/>
    <tableColumn id="20" xr3:uid="{EC0F8027-CC01-4135-953A-EAD29A124552}" uniqueName="20" name="Column11" queryTableFieldId="19" dataDxfId="16">
      <calculatedColumnFormula>IF(TRIM(sales_dataset[[#This Row],[CustomerName]])="",F8, PROPER(TRIM(sales_dataset[[#This Row],[CustomerName]])))</calculatedColumnFormula>
    </tableColumn>
    <tableColumn id="6" xr3:uid="{A43EF379-2C1A-4BB9-89BA-B16601F69DC1}" uniqueName="6" name="City" queryTableFieldId="6" dataDxfId="24"/>
    <tableColumn id="18" xr3:uid="{DA4B9EA6-DAB0-45EA-BCEE-D6D3900E5615}" uniqueName="18" name="Column12" queryTableFieldId="18" dataDxfId="18">
      <calculatedColumnFormula>IF(TRIM(sales_dataset[[#This Row],[City]])="", $H$3, PROPER(TRIM(sales_dataset[[#This Row],[City]])))</calculatedColumnFormula>
    </tableColumn>
    <tableColumn id="7" xr3:uid="{7460D661-8AAE-41C8-B9E6-6AD192F70014}" uniqueName="7" name="Region" queryTableFieldId="7" dataDxfId="13"/>
    <tableColumn id="21" xr3:uid="{D5A1CB37-2AE2-4F49-AF7D-30155BE338C7}" uniqueName="21" name="Region cleaned" queryTableFieldId="20" dataDxfId="15">
      <calculatedColumnFormula>IF(TRIM(sales_dataset[[#This Row],[Region]])="", J4, PROPER(TRIM(sales_dataset[[#This Row],[Region]])))</calculatedColumnFormula>
    </tableColumn>
    <tableColumn id="22" xr3:uid="{D95B8F6A-89DA-443D-B006-4EA1DC138B23}" uniqueName="22" name="Column2" queryTableFieldId="21" dataDxfId="1">
      <calculatedColumnFormula>PROPER(sales_dataset[[#This Row],[Region cleaned]])</calculatedColumnFormula>
    </tableColumn>
    <tableColumn id="8" xr3:uid="{F9C51056-B14D-42E5-9F81-E371BF8E383C}" uniqueName="8" name="Column3" queryTableFieldId="8" dataDxfId="23"/>
    <tableColumn id="9" xr3:uid="{24318857-4E51-4D68-86CA-75F2AC7888F5}" uniqueName="9" name="SalespersonName" queryTableFieldId="9" dataDxfId="22"/>
    <tableColumn id="23" xr3:uid="{4B03DB62-2496-4AEB-B0C1-BE7BA3F961E7}" uniqueName="23" name="Column6" queryTableFieldId="22" dataDxfId="0">
      <calculatedColumnFormula>IF(TRIM(sales_dataset[[#This Row],[SalespersonName]])="",'CLEANED DATA'!I5,PROPER(TRIM(sales_dataset[[#This Row],[SalespersonName]])))</calculatedColumnFormula>
    </tableColumn>
    <tableColumn id="10" xr3:uid="{9DD52FB6-80B7-4FDE-9F8A-21D5952F328B}" uniqueName="10" name="Column13" queryTableFieldId="10" dataDxfId="21"/>
    <tableColumn id="11" xr3:uid="{219B36AD-B0DC-477D-AEF2-E0D5BB9CAE77}" uniqueName="11" name="ProductCategory" queryTableFieldId="11" dataDxfId="20"/>
    <tableColumn id="24" xr3:uid="{34390314-DB47-468E-9037-856A316AF1D5}" uniqueName="24" name="ProductCategory cleaned" queryTableFieldId="23" dataDxfId="12">
      <calculatedColumnFormula>IF(TRIM(sales_dataset[[#This Row],[ProductCategory]])="", R20, PROPER(TRIM(sales_dataset[[#This Row],[ProductCategory]])))</calculatedColumnFormula>
    </tableColumn>
    <tableColumn id="25" xr3:uid="{5502117E-AD63-4204-A561-4985D4AC53A2}" uniqueName="25" name="Column14" queryTableFieldId="24" dataDxfId="11">
      <calculatedColumnFormula>PROPER(sales_dataset[[#This Row],[ProductCategory cleaned]])</calculatedColumnFormula>
    </tableColumn>
    <tableColumn id="12" xr3:uid="{20198A5F-958A-40F3-AAC0-414DD65B8AEE}" uniqueName="12" name="ProductName" queryTableFieldId="12" dataDxfId="19"/>
    <tableColumn id="27" xr3:uid="{D42FCE4B-88E6-42E6-9522-1191C48B0569}" uniqueName="27" name="Column15" queryTableFieldId="26" dataDxfId="10">
      <calculatedColumnFormula>PROPER(sales_dataset[[#This Row],[ProductName]])</calculatedColumnFormula>
    </tableColumn>
    <tableColumn id="13" xr3:uid="{DA0BB037-8F33-4789-8542-75AF5EF5BAAD}" uniqueName="13" name="Quantity" queryTableFieldId="13"/>
    <tableColumn id="33" xr3:uid="{D81ECEFA-0BF9-4AA6-80E9-92A4139ECCDC}" uniqueName="33" name="Column1" queryTableFieldId="32" dataDxfId="9">
      <calculatedColumnFormula>IF(TRIM(sales_dataset[[#This Row],[Quantity]])="",V8,PROPER(TRIM(sales_dataset[[#This Row],[Quantity]])))</calculatedColumnFormula>
    </tableColumn>
    <tableColumn id="34" xr3:uid="{B8DA6884-2133-44CE-A34C-C0A5AC812B90}" uniqueName="34" name="Column16" queryTableFieldId="33" dataDxfId="8">
      <calculatedColumnFormula>ABS(W:W)</calculatedColumnFormula>
    </tableColumn>
    <tableColumn id="14" xr3:uid="{AF33E581-2E06-43BC-994E-03F3AE748E08}" uniqueName="14" name="UnitPrice" queryTableFieldId="14"/>
    <tableColumn id="36" xr3:uid="{203DA655-4FF3-4981-A8E7-802B99D752B5}" uniqueName="36" name="Column4" queryTableFieldId="35" dataDxfId="7">
      <calculatedColumnFormula>IF(TRIM(sales_dataset[[#This Row],[UnitPrice]])="",Y4,PROPER(TRIM(sales_dataset[[#This Row],[UnitPrice]])))</calculatedColumnFormula>
    </tableColumn>
    <tableColumn id="35" xr3:uid="{F9C89F9F-A5DD-4144-9C9F-D3F41CA2BFDE}" uniqueName="35" name="Column17" queryTableFieldId="34" dataDxfId="6">
      <calculatedColumnFormula>ABS(sales_dataset[[#This Row],[Column4]])</calculatedColumnFormula>
    </tableColumn>
    <tableColumn id="15" xr3:uid="{4EC628D3-A7D3-4065-BDF3-DE116B379A7E}" uniqueName="15" name="TotalRevenue" queryTableFieldId="15"/>
    <tableColumn id="38" xr3:uid="{292E7415-0805-4D49-8455-7D8180F9581A}" uniqueName="38" name="Column5" queryTableFieldId="37" dataDxfId="2">
      <calculatedColumnFormula>IF(TRIM(sales_dataset[[#This Row],[TotalRevenue]])="",AB4,PROPER(TRIM(sales_dataset[[#This Row],[TotalRevenue]])))</calculatedColumnFormula>
    </tableColumn>
    <tableColumn id="39" xr3:uid="{566D3050-37EB-4BE4-9DE0-6CD6EF16C400}" uniqueName="39" name="TotalRevenue2" queryTableFieldId="38" dataDxfId="5">
      <calculatedColumnFormula>ABS(sales_dataset[[#This Row],[Column5]])</calculatedColumnFormula>
    </tableColumn>
    <tableColumn id="40" xr3:uid="{5BEFFEF8-38E5-4416-A424-001AB2E2B1DC}" uniqueName="40" name="Total Reveneue Corrected" queryTableFieldId="39" dataDxfId="4">
      <calculatedColumnFormula>sales_dataset[[#This Row],[Column17]]*sales_dataset[[#This Row],[Column16]]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4A88-72C2-4D0F-8654-B7E049722603}">
  <dimension ref="A1:O511"/>
  <sheetViews>
    <sheetView tabSelected="1" topLeftCell="D1" workbookViewId="0">
      <selection activeCell="K2" sqref="K2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21.5546875" bestFit="1" customWidth="1"/>
    <col min="4" max="4" width="13.109375" bestFit="1" customWidth="1"/>
    <col min="5" max="5" width="23.6640625" bestFit="1" customWidth="1"/>
    <col min="6" max="6" width="13.44140625" bestFit="1" customWidth="1"/>
    <col min="8" max="8" width="15" bestFit="1" customWidth="1"/>
    <col min="9" max="9" width="16.5546875" bestFit="1" customWidth="1"/>
    <col min="10" max="10" width="14.88671875" bestFit="1" customWidth="1"/>
    <col min="11" max="11" width="25.77734375" bestFit="1" customWidth="1"/>
    <col min="12" max="12" width="16" bestFit="1" customWidth="1"/>
    <col min="13" max="13" width="14.77734375" customWidth="1"/>
    <col min="14" max="14" width="11.88671875" customWidth="1"/>
    <col min="15" max="15" width="12.6640625" bestFit="1" customWidth="1"/>
  </cols>
  <sheetData>
    <row r="1" spans="1:15" x14ac:dyDescent="0.3">
      <c r="A1" t="s">
        <v>0</v>
      </c>
      <c r="B1" t="s">
        <v>1</v>
      </c>
      <c r="C1" t="s">
        <v>887</v>
      </c>
      <c r="D1" t="s">
        <v>3</v>
      </c>
      <c r="E1" t="s">
        <v>889</v>
      </c>
      <c r="F1" t="s">
        <v>888</v>
      </c>
      <c r="G1" t="s">
        <v>6</v>
      </c>
      <c r="H1" t="s">
        <v>7</v>
      </c>
      <c r="I1" t="s">
        <v>905</v>
      </c>
      <c r="J1" t="s">
        <v>9</v>
      </c>
      <c r="K1" t="s">
        <v>10</v>
      </c>
      <c r="L1" t="s">
        <v>11</v>
      </c>
      <c r="M1" t="s">
        <v>12</v>
      </c>
      <c r="N1" t="s">
        <v>899</v>
      </c>
      <c r="O1" t="s">
        <v>911</v>
      </c>
    </row>
    <row r="2" spans="1:15" x14ac:dyDescent="0.3">
      <c r="A2" s="1" t="s">
        <v>15</v>
      </c>
      <c r="B2" s="2">
        <v>45349</v>
      </c>
      <c r="C2" s="1" t="str">
        <f>IF(TRIM(sales_dataset[[#This Row],[SalesChannel]])="",sales_dataset!C3,PROPER(TRIM(sales_dataset[[#This Row],[SalesChannel]])))</f>
        <v>Online</v>
      </c>
      <c r="D2" s="1" t="s">
        <v>17</v>
      </c>
      <c r="E2" s="1" t="str">
        <f>IF(TRIM(sales_dataset[[#This Row],[CustomerName]])="",sales_dataset!F8, PROPER(TRIM(sales_dataset[[#This Row],[CustomerName]])))</f>
        <v>Priya</v>
      </c>
      <c r="F2" s="1" t="str">
        <f>IF(TRIM(sales_dataset[[#This Row],[City]])="", sales_dataset!$H$3, PROPER(TRIM(sales_dataset[[#This Row],[City]])))</f>
        <v>Delhi</v>
      </c>
      <c r="G2" t="str">
        <f>PROPER(sales_dataset[[#This Row],[Region cleaned]])</f>
        <v>North</v>
      </c>
      <c r="H2" t="s">
        <v>20</v>
      </c>
      <c r="I2" t="str">
        <f>IF(TRIM(sales_dataset[[#This Row],[SalespersonName]])="",I5,PROPER(TRIM(sales_dataset[[#This Row],[SalespersonName]])))</f>
        <v>Kevin</v>
      </c>
      <c r="J2" s="1" t="s">
        <v>22</v>
      </c>
      <c r="K2" s="1" t="str">
        <f>PROPER(sales_dataset[[#This Row],[ProductCategory cleaned]])</f>
        <v>Home</v>
      </c>
      <c r="L2" s="1" t="str">
        <f>PROPER(sales_dataset[[#This Row],[ProductName]])</f>
        <v>Tv</v>
      </c>
      <c r="M2">
        <f>ABS(sales_dataset!W:W)</f>
        <v>1</v>
      </c>
      <c r="N2">
        <f>ABS(sales_dataset[[#This Row],[Column4]])</f>
        <v>1500</v>
      </c>
      <c r="O2">
        <f>M2*N2</f>
        <v>1500</v>
      </c>
    </row>
    <row r="3" spans="1:15" x14ac:dyDescent="0.3">
      <c r="A3" s="1" t="s">
        <v>24</v>
      </c>
      <c r="B3" s="2">
        <v>45304</v>
      </c>
      <c r="C3" s="1" t="str">
        <f>IF(TRIM(sales_dataset[[#This Row],[SalesChannel]])="",sales_dataset!C4,PROPER(TRIM(sales_dataset[[#This Row],[SalesChannel]])))</f>
        <v>Offline</v>
      </c>
      <c r="D3" s="1" t="s">
        <v>26</v>
      </c>
      <c r="E3" s="1" t="str">
        <f>IF(TRIM(sales_dataset[[#This Row],[CustomerName]])="",sales_dataset!F9, PROPER(TRIM(sales_dataset[[#This Row],[CustomerName]])))</f>
        <v>Sara</v>
      </c>
      <c r="F3" s="1" t="str">
        <f>IF(TRIM(sales_dataset[[#This Row],[City]])="", sales_dataset!$H$3, PROPER(TRIM(sales_dataset[[#This Row],[City]])))</f>
        <v>Delhi</v>
      </c>
      <c r="G3" t="str">
        <f>PROPER(sales_dataset[[#This Row],[Region cleaned]])</f>
        <v>North</v>
      </c>
      <c r="H3" t="s">
        <v>29</v>
      </c>
      <c r="I3" t="str">
        <f>IF(TRIM(sales_dataset[[#This Row],[SalespersonName]])="",I6,PROPER(TRIM(sales_dataset[[#This Row],[SalespersonName]])))</f>
        <v>Raj</v>
      </c>
      <c r="J3" s="1" t="s">
        <v>31</v>
      </c>
      <c r="K3" s="1" t="str">
        <f>PROPER(sales_dataset[[#This Row],[ProductCategory cleaned]])</f>
        <v>Electronics</v>
      </c>
      <c r="L3" s="1" t="str">
        <f>PROPER(sales_dataset[[#This Row],[ProductName]])</f>
        <v>Shirt</v>
      </c>
      <c r="M3">
        <f>ABS(sales_dataset!W:W)</f>
        <v>4</v>
      </c>
      <c r="N3">
        <f>ABS(sales_dataset[[#This Row],[Column4]])</f>
        <v>100</v>
      </c>
      <c r="O3">
        <f t="shared" ref="O3:O66" si="0">M3*N3</f>
        <v>400</v>
      </c>
    </row>
    <row r="4" spans="1:15" x14ac:dyDescent="0.3">
      <c r="A4" s="1" t="s">
        <v>34</v>
      </c>
      <c r="B4" s="2">
        <v>45432</v>
      </c>
      <c r="C4" s="1" t="str">
        <f>IF(TRIM(sales_dataset[[#This Row],[SalesChannel]])="",sales_dataset!C5,PROPER(TRIM(sales_dataset[[#This Row],[SalesChannel]])))</f>
        <v>Store</v>
      </c>
      <c r="D4" s="1" t="s">
        <v>36</v>
      </c>
      <c r="E4" s="1" t="str">
        <f>IF(TRIM(sales_dataset[[#This Row],[CustomerName]])="",sales_dataset!F10, PROPER(TRIM(sales_dataset[[#This Row],[CustomerName]])))</f>
        <v>Priya</v>
      </c>
      <c r="F4" s="1" t="str">
        <f>IF(TRIM(sales_dataset[[#This Row],[City]])="", sales_dataset!$H$3, PROPER(TRIM(sales_dataset[[#This Row],[City]])))</f>
        <v>Delhi</v>
      </c>
      <c r="G4" t="str">
        <f>PROPER(sales_dataset[[#This Row],[Region cleaned]])</f>
        <v>North</v>
      </c>
      <c r="H4" t="s">
        <v>38</v>
      </c>
      <c r="I4" t="str">
        <f>IF(TRIM(sales_dataset[[#This Row],[SalespersonName]])="",I7,PROPER(TRIM(sales_dataset[[#This Row],[SalespersonName]])))</f>
        <v>Megha</v>
      </c>
      <c r="J4" s="1" t="s">
        <v>40</v>
      </c>
      <c r="K4" s="1" t="str">
        <f>PROPER(sales_dataset[[#This Row],[ProductCategory cleaned]])</f>
        <v>Home</v>
      </c>
      <c r="L4" s="1" t="str">
        <f>PROPER(sales_dataset[[#This Row],[ProductName]])</f>
        <v>Shirt</v>
      </c>
      <c r="M4">
        <f>ABS(sales_dataset!W:W)</f>
        <v>2</v>
      </c>
      <c r="N4">
        <f>ABS(sales_dataset[[#This Row],[Column4]])</f>
        <v>100</v>
      </c>
      <c r="O4">
        <f t="shared" si="0"/>
        <v>200</v>
      </c>
    </row>
    <row r="5" spans="1:15" x14ac:dyDescent="0.3">
      <c r="A5" s="1" t="s">
        <v>42</v>
      </c>
      <c r="B5" s="2">
        <v>45417</v>
      </c>
      <c r="C5" s="1" t="str">
        <f>IF(TRIM(sales_dataset[[#This Row],[SalesChannel]])="",sales_dataset!C6,PROPER(TRIM(sales_dataset[[#This Row],[SalesChannel]])))</f>
        <v>Store</v>
      </c>
      <c r="D5" s="1" t="s">
        <v>44</v>
      </c>
      <c r="E5" s="1" t="str">
        <f>IF(TRIM(sales_dataset[[#This Row],[CustomerName]])="",sales_dataset!F11, PROPER(TRIM(sales_dataset[[#This Row],[CustomerName]])))</f>
        <v>Priya</v>
      </c>
      <c r="F5" s="1" t="str">
        <f>IF(TRIM(sales_dataset[[#This Row],[City]])="", sales_dataset!$H$3, PROPER(TRIM(sales_dataset[[#This Row],[City]])))</f>
        <v>Hyderabad</v>
      </c>
      <c r="G5" t="str">
        <f>PROPER(sales_dataset[[#This Row],[Region cleaned]])</f>
        <v>North</v>
      </c>
      <c r="H5" t="s">
        <v>47</v>
      </c>
      <c r="I5" t="str">
        <f>IF(TRIM(sales_dataset[[#This Row],[SalespersonName]])="",I8,PROPER(TRIM(sales_dataset[[#This Row],[SalespersonName]])))</f>
        <v>Sam</v>
      </c>
      <c r="J5" s="1" t="s">
        <v>49</v>
      </c>
      <c r="K5" s="1" t="str">
        <f>PROPER(sales_dataset[[#This Row],[ProductCategory cleaned]])</f>
        <v>Electronics</v>
      </c>
      <c r="L5" s="1" t="str">
        <f>PROPER(sales_dataset[[#This Row],[ProductName]])</f>
        <v>Tv</v>
      </c>
      <c r="M5">
        <f>ABS(sales_dataset!W:W)</f>
        <v>5</v>
      </c>
      <c r="N5">
        <f>ABS(sales_dataset[[#This Row],[Column4]])</f>
        <v>1500</v>
      </c>
      <c r="O5">
        <f t="shared" si="0"/>
        <v>7500</v>
      </c>
    </row>
    <row r="6" spans="1:15" x14ac:dyDescent="0.3">
      <c r="A6" s="1" t="s">
        <v>50</v>
      </c>
      <c r="B6" s="2">
        <v>45406</v>
      </c>
      <c r="C6" s="1" t="str">
        <f>IF(TRIM(sales_dataset[[#This Row],[SalesChannel]])="",sales_dataset!C7,PROPER(TRIM(sales_dataset[[#This Row],[SalesChannel]])))</f>
        <v>Online</v>
      </c>
      <c r="D6" s="1" t="s">
        <v>52</v>
      </c>
      <c r="E6" s="1" t="str">
        <f>IF(TRIM(sales_dataset[[#This Row],[CustomerName]])="",sales_dataset!F12, PROPER(TRIM(sales_dataset[[#This Row],[CustomerName]])))</f>
        <v>Priya</v>
      </c>
      <c r="F6" s="1" t="str">
        <f>IF(TRIM(sales_dataset[[#This Row],[City]])="", sales_dataset!$H$3, PROPER(TRIM(sales_dataset[[#This Row],[City]])))</f>
        <v>Bengaluru</v>
      </c>
      <c r="G6" t="str">
        <f>PROPER(sales_dataset[[#This Row],[Region cleaned]])</f>
        <v>West</v>
      </c>
      <c r="H6" t="s">
        <v>55</v>
      </c>
      <c r="I6" t="str">
        <f>IF(TRIM(sales_dataset[[#This Row],[SalespersonName]])="",I9,PROPER(TRIM(sales_dataset[[#This Row],[SalespersonName]])))</f>
        <v>Anita</v>
      </c>
      <c r="J6" s="1" t="s">
        <v>57</v>
      </c>
      <c r="K6" s="1" t="str">
        <f>PROPER(sales_dataset[[#This Row],[ProductCategory cleaned]])</f>
        <v>Home</v>
      </c>
      <c r="L6" s="1" t="str">
        <f>PROPER(sales_dataset[[#This Row],[ProductName]])</f>
        <v>Tv</v>
      </c>
      <c r="M6">
        <f>ABS(sales_dataset!W:W)</f>
        <v>1</v>
      </c>
      <c r="N6">
        <f>ABS(sales_dataset[[#This Row],[Column4]])</f>
        <v>100</v>
      </c>
      <c r="O6">
        <f t="shared" si="0"/>
        <v>100</v>
      </c>
    </row>
    <row r="7" spans="1:15" x14ac:dyDescent="0.3">
      <c r="A7" s="1" t="s">
        <v>58</v>
      </c>
      <c r="B7" s="2">
        <v>45363</v>
      </c>
      <c r="C7" s="1" t="str">
        <f>IF(TRIM(sales_dataset[[#This Row],[SalesChannel]])="",sales_dataset!C8,PROPER(TRIM(sales_dataset[[#This Row],[SalesChannel]])))</f>
        <v>Online</v>
      </c>
      <c r="D7" s="1" t="s">
        <v>59</v>
      </c>
      <c r="E7" s="1" t="str">
        <f>IF(TRIM(sales_dataset[[#This Row],[CustomerName]])="",sales_dataset!F13, PROPER(TRIM(sales_dataset[[#This Row],[CustomerName]])))</f>
        <v>Amit</v>
      </c>
      <c r="F7" s="1" t="str">
        <f>IF(TRIM(sales_dataset[[#This Row],[City]])="", sales_dataset!$H$3, PROPER(TRIM(sales_dataset[[#This Row],[City]])))</f>
        <v>Delhi</v>
      </c>
      <c r="G7" t="str">
        <f>PROPER(sales_dataset[[#This Row],[Region cleaned]])</f>
        <v>North</v>
      </c>
      <c r="H7" t="s">
        <v>61</v>
      </c>
      <c r="I7" t="str">
        <f>IF(TRIM(sales_dataset[[#This Row],[SalespersonName]])="",I10,PROPER(TRIM(sales_dataset[[#This Row],[SalespersonName]])))</f>
        <v>Sam</v>
      </c>
      <c r="J7" s="1" t="s">
        <v>62</v>
      </c>
      <c r="K7" s="1" t="str">
        <f>PROPER(sales_dataset[[#This Row],[ProductCategory cleaned]])</f>
        <v>Clothing</v>
      </c>
      <c r="L7" s="1" t="str">
        <f>PROPER(sales_dataset[[#This Row],[ProductName]])</f>
        <v>Shirt</v>
      </c>
      <c r="M7">
        <f>ABS(sales_dataset!W:W)</f>
        <v>1</v>
      </c>
      <c r="N7">
        <f>ABS(sales_dataset[[#This Row],[Column4]])</f>
        <v>1500</v>
      </c>
      <c r="O7">
        <f t="shared" si="0"/>
        <v>1500</v>
      </c>
    </row>
    <row r="8" spans="1:15" x14ac:dyDescent="0.3">
      <c r="A8" s="1" t="s">
        <v>64</v>
      </c>
      <c r="B8" s="2">
        <v>45344</v>
      </c>
      <c r="C8" s="1" t="str">
        <f>IF(TRIM(sales_dataset[[#This Row],[SalesChannel]])="",sales_dataset!C9,PROPER(TRIM(sales_dataset[[#This Row],[SalesChannel]])))</f>
        <v>Online</v>
      </c>
      <c r="D8" s="1" t="s">
        <v>65</v>
      </c>
      <c r="E8" s="1" t="str">
        <f>IF(TRIM(sales_dataset[[#This Row],[CustomerName]])="",sales_dataset!F14, PROPER(TRIM(sales_dataset[[#This Row],[CustomerName]])))</f>
        <v>Priya</v>
      </c>
      <c r="F8" s="1" t="str">
        <f>IF(TRIM(sales_dataset[[#This Row],[City]])="", sales_dataset!$H$3, PROPER(TRIM(sales_dataset[[#This Row],[City]])))</f>
        <v>Delhi</v>
      </c>
      <c r="G8" t="str">
        <f>PROPER(sales_dataset[[#This Row],[Region cleaned]])</f>
        <v>West</v>
      </c>
      <c r="H8" t="s">
        <v>67</v>
      </c>
      <c r="I8" t="str">
        <f>IF(TRIM(sales_dataset[[#This Row],[SalespersonName]])="",I11,PROPER(TRIM(sales_dataset[[#This Row],[SalespersonName]])))</f>
        <v>Megha</v>
      </c>
      <c r="J8" s="1" t="s">
        <v>68</v>
      </c>
      <c r="K8" s="1" t="str">
        <f>PROPER(sales_dataset[[#This Row],[ProductCategory cleaned]])</f>
        <v>Clothing</v>
      </c>
      <c r="L8" s="1" t="str">
        <f>PROPER(sales_dataset[[#This Row],[ProductName]])</f>
        <v>Laptop</v>
      </c>
      <c r="M8">
        <f>ABS(sales_dataset!W:W)</f>
        <v>1</v>
      </c>
      <c r="N8">
        <f>ABS(sales_dataset[[#This Row],[Column4]])</f>
        <v>500</v>
      </c>
      <c r="O8">
        <f t="shared" si="0"/>
        <v>500</v>
      </c>
    </row>
    <row r="9" spans="1:15" x14ac:dyDescent="0.3">
      <c r="A9" s="1" t="s">
        <v>70</v>
      </c>
      <c r="B9" s="2">
        <v>45571</v>
      </c>
      <c r="C9" s="1" t="str">
        <f>IF(TRIM(sales_dataset[[#This Row],[SalesChannel]])="",sales_dataset!C10,PROPER(TRIM(sales_dataset[[#This Row],[SalesChannel]])))</f>
        <v>Offline</v>
      </c>
      <c r="D9" s="1" t="s">
        <v>71</v>
      </c>
      <c r="E9" s="1" t="str">
        <f>IF(TRIM(sales_dataset[[#This Row],[CustomerName]])="",sales_dataset!F15, PROPER(TRIM(sales_dataset[[#This Row],[CustomerName]])))</f>
        <v>John</v>
      </c>
      <c r="F9" s="1" t="str">
        <f>IF(TRIM(sales_dataset[[#This Row],[City]])="", sales_dataset!$H$3, PROPER(TRIM(sales_dataset[[#This Row],[City]])))</f>
        <v>Mumbai</v>
      </c>
      <c r="G9" t="str">
        <f>PROPER(sales_dataset[[#This Row],[Region cleaned]])</f>
        <v>North</v>
      </c>
      <c r="H9" t="s">
        <v>74</v>
      </c>
      <c r="I9" t="str">
        <f>IF(TRIM(sales_dataset[[#This Row],[SalespersonName]])="",I12,PROPER(TRIM(sales_dataset[[#This Row],[SalespersonName]])))</f>
        <v>Raj</v>
      </c>
      <c r="J9" s="1" t="s">
        <v>75</v>
      </c>
      <c r="K9" s="1" t="str">
        <f>PROPER(sales_dataset[[#This Row],[ProductCategory cleaned]])</f>
        <v>Home</v>
      </c>
      <c r="L9" s="1" t="str">
        <f>PROPER(sales_dataset[[#This Row],[ProductName]])</f>
        <v>Sofa</v>
      </c>
      <c r="M9">
        <f>ABS(sales_dataset!W:W)</f>
        <v>4</v>
      </c>
      <c r="N9">
        <f>ABS(sales_dataset[[#This Row],[Column4]])</f>
        <v>2500</v>
      </c>
      <c r="O9">
        <f t="shared" si="0"/>
        <v>10000</v>
      </c>
    </row>
    <row r="10" spans="1:15" x14ac:dyDescent="0.3">
      <c r="A10" s="1" t="s">
        <v>77</v>
      </c>
      <c r="B10" s="2">
        <v>45336</v>
      </c>
      <c r="C10" s="1" t="str">
        <f>IF(TRIM(sales_dataset[[#This Row],[SalesChannel]])="",sales_dataset!C11,PROPER(TRIM(sales_dataset[[#This Row],[SalesChannel]])))</f>
        <v>Store</v>
      </c>
      <c r="D10" s="1" t="s">
        <v>78</v>
      </c>
      <c r="E10" s="1" t="str">
        <f>IF(TRIM(sales_dataset[[#This Row],[CustomerName]])="",sales_dataset!F16, PROPER(TRIM(sales_dataset[[#This Row],[CustomerName]])))</f>
        <v>Priya</v>
      </c>
      <c r="F10" s="1" t="str">
        <f>IF(TRIM(sales_dataset[[#This Row],[City]])="", sales_dataset!$H$3, PROPER(TRIM(sales_dataset[[#This Row],[City]])))</f>
        <v>Mumbai</v>
      </c>
      <c r="G10" t="str">
        <f>PROPER(sales_dataset[[#This Row],[Region cleaned]])</f>
        <v>East</v>
      </c>
      <c r="H10" t="s">
        <v>47</v>
      </c>
      <c r="I10" t="str">
        <f>IF(TRIM(sales_dataset[[#This Row],[SalespersonName]])="",I13,PROPER(TRIM(sales_dataset[[#This Row],[SalespersonName]])))</f>
        <v>Megha</v>
      </c>
      <c r="J10" s="1" t="s">
        <v>81</v>
      </c>
      <c r="K10" s="1" t="str">
        <f>PROPER(sales_dataset[[#This Row],[ProductCategory cleaned]])</f>
        <v>Electronics</v>
      </c>
      <c r="L10" s="1" t="str">
        <f>PROPER(sales_dataset[[#This Row],[ProductName]])</f>
        <v>Laptop</v>
      </c>
      <c r="M10">
        <f>ABS(sales_dataset!W:W)</f>
        <v>5</v>
      </c>
      <c r="N10">
        <f>ABS(sales_dataset[[#This Row],[Column4]])</f>
        <v>100</v>
      </c>
      <c r="O10">
        <f t="shared" si="0"/>
        <v>500</v>
      </c>
    </row>
    <row r="11" spans="1:15" x14ac:dyDescent="0.3">
      <c r="A11" s="1" t="s">
        <v>83</v>
      </c>
      <c r="B11" s="2">
        <v>45508</v>
      </c>
      <c r="C11" s="1" t="str">
        <f>IF(TRIM(sales_dataset[[#This Row],[SalesChannel]])="",sales_dataset!C12,PROPER(TRIM(sales_dataset[[#This Row],[SalesChannel]])))</f>
        <v>Store</v>
      </c>
      <c r="D11" s="1" t="s">
        <v>84</v>
      </c>
      <c r="E11" s="1" t="str">
        <f>IF(TRIM(sales_dataset[[#This Row],[CustomerName]])="",sales_dataset!F17, PROPER(TRIM(sales_dataset[[#This Row],[CustomerName]])))</f>
        <v>Sara</v>
      </c>
      <c r="F11" s="1" t="str">
        <f>IF(TRIM(sales_dataset[[#This Row],[City]])="", sales_dataset!$H$3, PROPER(TRIM(sales_dataset[[#This Row],[City]])))</f>
        <v>Delhi</v>
      </c>
      <c r="G11" t="str">
        <f>PROPER(sales_dataset[[#This Row],[Region cleaned]])</f>
        <v>North</v>
      </c>
      <c r="H11" t="s">
        <v>85</v>
      </c>
      <c r="I11" t="str">
        <f>IF(TRIM(sales_dataset[[#This Row],[SalespersonName]])="",I14,PROPER(TRIM(sales_dataset[[#This Row],[SalespersonName]])))</f>
        <v>Raj</v>
      </c>
      <c r="J11" s="1" t="s">
        <v>86</v>
      </c>
      <c r="K11" s="1" t="str">
        <f>PROPER(sales_dataset[[#This Row],[ProductCategory cleaned]])</f>
        <v>Clothing</v>
      </c>
      <c r="L11" s="1" t="str">
        <f>PROPER(sales_dataset[[#This Row],[ProductName]])</f>
        <v>Shirt</v>
      </c>
      <c r="M11">
        <f>ABS(sales_dataset!W:W)</f>
        <v>3</v>
      </c>
      <c r="N11">
        <f>ABS(sales_dataset[[#This Row],[Column4]])</f>
        <v>2000</v>
      </c>
      <c r="O11">
        <f t="shared" si="0"/>
        <v>6000</v>
      </c>
    </row>
    <row r="12" spans="1:15" x14ac:dyDescent="0.3">
      <c r="A12" s="1" t="s">
        <v>88</v>
      </c>
      <c r="B12" s="2">
        <v>45308</v>
      </c>
      <c r="C12" s="1" t="str">
        <f>IF(TRIM(sales_dataset[[#This Row],[SalesChannel]])="",sales_dataset!C13,PROPER(TRIM(sales_dataset[[#This Row],[SalesChannel]])))</f>
        <v>Online</v>
      </c>
      <c r="D12" s="1" t="s">
        <v>89</v>
      </c>
      <c r="E12" s="1" t="str">
        <f>IF(TRIM(sales_dataset[[#This Row],[CustomerName]])="",sales_dataset!F18, PROPER(TRIM(sales_dataset[[#This Row],[CustomerName]])))</f>
        <v>Priya</v>
      </c>
      <c r="F12" s="1" t="str">
        <f>IF(TRIM(sales_dataset[[#This Row],[City]])="", sales_dataset!$H$3, PROPER(TRIM(sales_dataset[[#This Row],[City]])))</f>
        <v>Mumbai</v>
      </c>
      <c r="G12" t="str">
        <f>PROPER(sales_dataset[[#This Row],[Region cleaned]])</f>
        <v>East</v>
      </c>
      <c r="H12" t="s">
        <v>29</v>
      </c>
      <c r="I12" t="str">
        <f>IF(TRIM(sales_dataset[[#This Row],[SalespersonName]])="",I15,PROPER(TRIM(sales_dataset[[#This Row],[SalespersonName]])))</f>
        <v>Raj</v>
      </c>
      <c r="J12" s="1" t="s">
        <v>90</v>
      </c>
      <c r="K12" s="1" t="str">
        <f>PROPER(sales_dataset[[#This Row],[ProductCategory cleaned]])</f>
        <v>Electronics</v>
      </c>
      <c r="L12" s="1" t="str">
        <f>PROPER(sales_dataset[[#This Row],[ProductName]])</f>
        <v>Tv</v>
      </c>
      <c r="M12">
        <f>ABS(sales_dataset!W:W)</f>
        <v>4</v>
      </c>
      <c r="N12">
        <f>ABS(sales_dataset[[#This Row],[Column4]])</f>
        <v>0</v>
      </c>
      <c r="O12">
        <f t="shared" si="0"/>
        <v>0</v>
      </c>
    </row>
    <row r="13" spans="1:15" x14ac:dyDescent="0.3">
      <c r="A13" s="1" t="s">
        <v>91</v>
      </c>
      <c r="B13" s="2">
        <v>45307</v>
      </c>
      <c r="C13" s="1" t="str">
        <f>IF(TRIM(sales_dataset[[#This Row],[SalesChannel]])="",sales_dataset!C14,PROPER(TRIM(sales_dataset[[#This Row],[SalesChannel]])))</f>
        <v>Online</v>
      </c>
      <c r="D13" s="1" t="s">
        <v>92</v>
      </c>
      <c r="E13" s="1" t="str">
        <f>IF(TRIM(sales_dataset[[#This Row],[CustomerName]])="",sales_dataset!F19, PROPER(TRIM(sales_dataset[[#This Row],[CustomerName]])))</f>
        <v>Sara</v>
      </c>
      <c r="F13" s="1" t="str">
        <f>IF(TRIM(sales_dataset[[#This Row],[City]])="", sales_dataset!$H$3, PROPER(TRIM(sales_dataset[[#This Row],[City]])))</f>
        <v>Delhi</v>
      </c>
      <c r="G13" t="str">
        <f>PROPER(sales_dataset[[#This Row],[Region cleaned]])</f>
        <v>East</v>
      </c>
      <c r="H13" t="s">
        <v>93</v>
      </c>
      <c r="I13" t="str">
        <f>IF(TRIM(sales_dataset[[#This Row],[SalespersonName]])="",I16,PROPER(TRIM(sales_dataset[[#This Row],[SalespersonName]])))</f>
        <v>Kevin</v>
      </c>
      <c r="J13" s="1" t="s">
        <v>94</v>
      </c>
      <c r="K13" s="1" t="str">
        <f>PROPER(sales_dataset[[#This Row],[ProductCategory cleaned]])</f>
        <v>Clothing</v>
      </c>
      <c r="L13" s="1" t="str">
        <f>PROPER(sales_dataset[[#This Row],[ProductName]])</f>
        <v>Watch</v>
      </c>
      <c r="M13">
        <f>ABS(sales_dataset!W:W)</f>
        <v>1</v>
      </c>
      <c r="N13">
        <f>ABS(sales_dataset[[#This Row],[Column4]])</f>
        <v>2000</v>
      </c>
      <c r="O13">
        <f t="shared" si="0"/>
        <v>2000</v>
      </c>
    </row>
    <row r="14" spans="1:15" x14ac:dyDescent="0.3">
      <c r="A14" s="1" t="s">
        <v>96</v>
      </c>
      <c r="B14" s="2">
        <v>45339</v>
      </c>
      <c r="C14" s="1" t="str">
        <f>IF(TRIM(sales_dataset[[#This Row],[SalesChannel]])="",sales_dataset!C15,PROPER(TRIM(sales_dataset[[#This Row],[SalesChannel]])))</f>
        <v>Online</v>
      </c>
      <c r="D14" s="1" t="s">
        <v>97</v>
      </c>
      <c r="E14" s="1" t="str">
        <f>IF(TRIM(sales_dataset[[#This Row],[CustomerName]])="",sales_dataset!F20, PROPER(TRIM(sales_dataset[[#This Row],[CustomerName]])))</f>
        <v>Priya</v>
      </c>
      <c r="F14" s="1" t="str">
        <f>IF(TRIM(sales_dataset[[#This Row],[City]])="", sales_dataset!$H$3, PROPER(TRIM(sales_dataset[[#This Row],[City]])))</f>
        <v>Mumbai</v>
      </c>
      <c r="G14" t="str">
        <f>PROPER(sales_dataset[[#This Row],[Region cleaned]])</f>
        <v>South</v>
      </c>
      <c r="H14" t="s">
        <v>99</v>
      </c>
      <c r="I14" t="str">
        <f>IF(TRIM(sales_dataset[[#This Row],[SalespersonName]])="",I17,PROPER(TRIM(sales_dataset[[#This Row],[SalespersonName]])))</f>
        <v>Anita</v>
      </c>
      <c r="J14" s="1" t="s">
        <v>100</v>
      </c>
      <c r="K14" s="1" t="str">
        <f>PROPER(sales_dataset[[#This Row],[ProductCategory cleaned]])</f>
        <v>Electronics</v>
      </c>
      <c r="L14" s="1" t="str">
        <f>PROPER(sales_dataset[[#This Row],[ProductName]])</f>
        <v>Tv</v>
      </c>
      <c r="M14">
        <f>ABS(sales_dataset!W:W)</f>
        <v>1</v>
      </c>
      <c r="N14">
        <f>ABS(sales_dataset[[#This Row],[Column4]])</f>
        <v>2500</v>
      </c>
      <c r="O14">
        <f t="shared" si="0"/>
        <v>2500</v>
      </c>
    </row>
    <row r="15" spans="1:15" x14ac:dyDescent="0.3">
      <c r="A15" s="1" t="s">
        <v>101</v>
      </c>
      <c r="B15" s="2">
        <v>45403</v>
      </c>
      <c r="C15" s="1" t="str">
        <f>IF(TRIM(sales_dataset[[#This Row],[SalesChannel]])="",sales_dataset!C16,PROPER(TRIM(sales_dataset[[#This Row],[SalesChannel]])))</f>
        <v>Offline</v>
      </c>
      <c r="D15" s="1" t="s">
        <v>102</v>
      </c>
      <c r="E15" s="1" t="str">
        <f>IF(TRIM(sales_dataset[[#This Row],[CustomerName]])="",sales_dataset!F21, PROPER(TRIM(sales_dataset[[#This Row],[CustomerName]])))</f>
        <v>Priya</v>
      </c>
      <c r="F15" s="1" t="str">
        <f>IF(TRIM(sales_dataset[[#This Row],[City]])="", sales_dataset!$H$3, PROPER(TRIM(sales_dataset[[#This Row],[City]])))</f>
        <v>Bengaluru</v>
      </c>
      <c r="G15" t="str">
        <f>PROPER(sales_dataset[[#This Row],[Region cleaned]])</f>
        <v>South</v>
      </c>
      <c r="H15" t="s">
        <v>103</v>
      </c>
      <c r="I15" t="str">
        <f>IF(TRIM(sales_dataset[[#This Row],[SalespersonName]])="",I18,PROPER(TRIM(sales_dataset[[#This Row],[SalespersonName]])))</f>
        <v>Anita</v>
      </c>
      <c r="J15" s="1" t="s">
        <v>104</v>
      </c>
      <c r="K15" s="1" t="str">
        <f>PROPER(sales_dataset[[#This Row],[ProductCategory cleaned]])</f>
        <v>Electronics</v>
      </c>
      <c r="L15" s="1" t="str">
        <f>PROPER(sales_dataset[[#This Row],[ProductName]])</f>
        <v>Shirt</v>
      </c>
      <c r="M15">
        <f>ABS(sales_dataset!W:W)</f>
        <v>1</v>
      </c>
      <c r="N15">
        <f>ABS(sales_dataset[[#This Row],[Column4]])</f>
        <v>2500</v>
      </c>
      <c r="O15">
        <f t="shared" si="0"/>
        <v>2500</v>
      </c>
    </row>
    <row r="16" spans="1:15" x14ac:dyDescent="0.3">
      <c r="A16" s="1" t="s">
        <v>105</v>
      </c>
      <c r="B16" s="2">
        <v>45411</v>
      </c>
      <c r="C16" s="1" t="str">
        <f>IF(TRIM(sales_dataset[[#This Row],[SalesChannel]])="",sales_dataset!C17,PROPER(TRIM(sales_dataset[[#This Row],[SalesChannel]])))</f>
        <v>Store</v>
      </c>
      <c r="D16" s="1" t="s">
        <v>106</v>
      </c>
      <c r="E16" s="1" t="str">
        <f>IF(TRIM(sales_dataset[[#This Row],[CustomerName]])="",sales_dataset!F22, PROPER(TRIM(sales_dataset[[#This Row],[CustomerName]])))</f>
        <v>Sara</v>
      </c>
      <c r="F16" s="1" t="str">
        <f>IF(TRIM(sales_dataset[[#This Row],[City]])="", sales_dataset!$H$3, PROPER(TRIM(sales_dataset[[#This Row],[City]])))</f>
        <v>Delhi</v>
      </c>
      <c r="G16" t="str">
        <f>PROPER(sales_dataset[[#This Row],[Region cleaned]])</f>
        <v>East</v>
      </c>
      <c r="H16" t="s">
        <v>107</v>
      </c>
      <c r="I16" t="str">
        <f>IF(TRIM(sales_dataset[[#This Row],[SalespersonName]])="",I19,PROPER(TRIM(sales_dataset[[#This Row],[SalespersonName]])))</f>
        <v>Sam</v>
      </c>
      <c r="J16" s="1" t="s">
        <v>108</v>
      </c>
      <c r="K16" s="1" t="str">
        <f>PROPER(sales_dataset[[#This Row],[ProductCategory cleaned]])</f>
        <v>Home</v>
      </c>
      <c r="L16" s="1" t="str">
        <f>PROPER(sales_dataset[[#This Row],[ProductName]])</f>
        <v>Watch</v>
      </c>
      <c r="M16">
        <f>ABS(sales_dataset!W:W)</f>
        <v>2</v>
      </c>
      <c r="N16">
        <f>ABS(sales_dataset[[#This Row],[Column4]])</f>
        <v>2500</v>
      </c>
      <c r="O16">
        <f t="shared" si="0"/>
        <v>5000</v>
      </c>
    </row>
    <row r="17" spans="1:15" x14ac:dyDescent="0.3">
      <c r="A17" s="1" t="s">
        <v>109</v>
      </c>
      <c r="B17" s="2">
        <v>45550</v>
      </c>
      <c r="C17" s="1" t="str">
        <f>IF(TRIM(sales_dataset[[#This Row],[SalesChannel]])="",sales_dataset!C18,PROPER(TRIM(sales_dataset[[#This Row],[SalesChannel]])))</f>
        <v>Store</v>
      </c>
      <c r="D17" s="1" t="s">
        <v>110</v>
      </c>
      <c r="E17" s="1" t="str">
        <f>IF(TRIM(sales_dataset[[#This Row],[CustomerName]])="",sales_dataset!F23, PROPER(TRIM(sales_dataset[[#This Row],[CustomerName]])))</f>
        <v>Priya</v>
      </c>
      <c r="F17" s="1" t="str">
        <f>IF(TRIM(sales_dataset[[#This Row],[City]])="", sales_dataset!$H$3, PROPER(TRIM(sales_dataset[[#This Row],[City]])))</f>
        <v>Delhi</v>
      </c>
      <c r="G17" t="str">
        <f>PROPER(sales_dataset[[#This Row],[Region cleaned]])</f>
        <v>West</v>
      </c>
      <c r="H17" t="s">
        <v>111</v>
      </c>
      <c r="I17" t="str">
        <f>IF(TRIM(sales_dataset[[#This Row],[SalespersonName]])="",I20,PROPER(TRIM(sales_dataset[[#This Row],[SalespersonName]])))</f>
        <v>Sam</v>
      </c>
      <c r="J17" s="1" t="s">
        <v>112</v>
      </c>
      <c r="K17" s="1" t="str">
        <f>PROPER(sales_dataset[[#This Row],[ProductCategory cleaned]])</f>
        <v>Electronics</v>
      </c>
      <c r="L17" s="1" t="str">
        <f>PROPER(sales_dataset[[#This Row],[ProductName]])</f>
        <v>Watch</v>
      </c>
      <c r="M17">
        <f>ABS(sales_dataset!W:W)</f>
        <v>2</v>
      </c>
      <c r="N17">
        <f>ABS(sales_dataset[[#This Row],[Column4]])</f>
        <v>1500</v>
      </c>
      <c r="O17">
        <f t="shared" si="0"/>
        <v>3000</v>
      </c>
    </row>
    <row r="18" spans="1:15" x14ac:dyDescent="0.3">
      <c r="A18" s="1" t="s">
        <v>113</v>
      </c>
      <c r="B18" s="2">
        <v>45305</v>
      </c>
      <c r="C18" s="1" t="str">
        <f>IF(TRIM(sales_dataset[[#This Row],[SalesChannel]])="",sales_dataset!C19,PROPER(TRIM(sales_dataset[[#This Row],[SalesChannel]])))</f>
        <v>Online</v>
      </c>
      <c r="D18" s="1" t="s">
        <v>114</v>
      </c>
      <c r="E18" s="1" t="str">
        <f>IF(TRIM(sales_dataset[[#This Row],[CustomerName]])="",sales_dataset!F24, PROPER(TRIM(sales_dataset[[#This Row],[CustomerName]])))</f>
        <v>Priya</v>
      </c>
      <c r="F18" s="1" t="str">
        <f>IF(TRIM(sales_dataset[[#This Row],[City]])="", sales_dataset!$H$3, PROPER(TRIM(sales_dataset[[#This Row],[City]])))</f>
        <v>Delhi</v>
      </c>
      <c r="G18" t="str">
        <f>PROPER(sales_dataset[[#This Row],[Region cleaned]])</f>
        <v>South</v>
      </c>
      <c r="H18" t="s">
        <v>47</v>
      </c>
      <c r="I18" t="str">
        <f>IF(TRIM(sales_dataset[[#This Row],[SalespersonName]])="",I21,PROPER(TRIM(sales_dataset[[#This Row],[SalespersonName]])))</f>
        <v>Anita</v>
      </c>
      <c r="J18" s="1" t="s">
        <v>115</v>
      </c>
      <c r="K18" s="1" t="str">
        <f>PROPER(sales_dataset[[#This Row],[ProductCategory cleaned]])</f>
        <v>Home</v>
      </c>
      <c r="L18" s="1" t="str">
        <f>PROPER(sales_dataset[[#This Row],[ProductName]])</f>
        <v>Sofa</v>
      </c>
      <c r="M18">
        <f>ABS(sales_dataset!W:W)</f>
        <v>2</v>
      </c>
      <c r="N18">
        <f>ABS(sales_dataset[[#This Row],[Column4]])</f>
        <v>100</v>
      </c>
      <c r="O18">
        <f t="shared" si="0"/>
        <v>200</v>
      </c>
    </row>
    <row r="19" spans="1:15" x14ac:dyDescent="0.3">
      <c r="A19" s="1" t="s">
        <v>116</v>
      </c>
      <c r="B19" s="2">
        <v>45579</v>
      </c>
      <c r="C19" s="1" t="str">
        <f>IF(TRIM(sales_dataset[[#This Row],[SalesChannel]])="",sales_dataset!C20,PROPER(TRIM(sales_dataset[[#This Row],[SalesChannel]])))</f>
        <v>Online</v>
      </c>
      <c r="D19" s="1" t="s">
        <v>117</v>
      </c>
      <c r="E19" s="1" t="str">
        <f>IF(TRIM(sales_dataset[[#This Row],[CustomerName]])="",sales_dataset!F25, PROPER(TRIM(sales_dataset[[#This Row],[CustomerName]])))</f>
        <v>David</v>
      </c>
      <c r="F19" s="1" t="str">
        <f>IF(TRIM(sales_dataset[[#This Row],[City]])="", sales_dataset!$H$3, PROPER(TRIM(sales_dataset[[#This Row],[City]])))</f>
        <v>Hyderabad</v>
      </c>
      <c r="G19" t="str">
        <f>PROPER(sales_dataset[[#This Row],[Region cleaned]])</f>
        <v>South</v>
      </c>
      <c r="H19" t="s">
        <v>119</v>
      </c>
      <c r="I19" t="str">
        <f>IF(TRIM(sales_dataset[[#This Row],[SalespersonName]])="",I22,PROPER(TRIM(sales_dataset[[#This Row],[SalespersonName]])))</f>
        <v>Sam</v>
      </c>
      <c r="J19" s="1" t="s">
        <v>120</v>
      </c>
      <c r="K19" s="1" t="str">
        <f>PROPER(sales_dataset[[#This Row],[ProductCategory cleaned]])</f>
        <v>Clothing</v>
      </c>
      <c r="L19" s="1" t="str">
        <f>PROPER(sales_dataset[[#This Row],[ProductName]])</f>
        <v>Shirt</v>
      </c>
      <c r="M19">
        <f>ABS(sales_dataset!W:W)</f>
        <v>3</v>
      </c>
      <c r="N19">
        <f>ABS(sales_dataset[[#This Row],[Column4]])</f>
        <v>1500</v>
      </c>
      <c r="O19">
        <f t="shared" si="0"/>
        <v>4500</v>
      </c>
    </row>
    <row r="20" spans="1:15" x14ac:dyDescent="0.3">
      <c r="A20" s="1" t="s">
        <v>121</v>
      </c>
      <c r="B20" s="2">
        <v>45393</v>
      </c>
      <c r="C20" s="1" t="str">
        <f>IF(TRIM(sales_dataset[[#This Row],[SalesChannel]])="",sales_dataset!C21,PROPER(TRIM(sales_dataset[[#This Row],[SalesChannel]])))</f>
        <v>Online</v>
      </c>
      <c r="D20" s="1" t="s">
        <v>122</v>
      </c>
      <c r="E20" s="1" t="str">
        <f>IF(TRIM(sales_dataset[[#This Row],[CustomerName]])="",sales_dataset!F26, PROPER(TRIM(sales_dataset[[#This Row],[CustomerName]])))</f>
        <v>Amit</v>
      </c>
      <c r="F20" s="1" t="str">
        <f>IF(TRIM(sales_dataset[[#This Row],[City]])="", sales_dataset!$H$3, PROPER(TRIM(sales_dataset[[#This Row],[City]])))</f>
        <v>Bengaluru</v>
      </c>
      <c r="G20" t="str">
        <f>PROPER(sales_dataset[[#This Row],[Region cleaned]])</f>
        <v>South</v>
      </c>
      <c r="H20" t="s">
        <v>38</v>
      </c>
      <c r="I20" t="str">
        <f>IF(TRIM(sales_dataset[[#This Row],[SalespersonName]])="",I23,PROPER(TRIM(sales_dataset[[#This Row],[SalespersonName]])))</f>
        <v>Anita</v>
      </c>
      <c r="J20" s="1" t="s">
        <v>123</v>
      </c>
      <c r="K20" s="1" t="str">
        <f>PROPER(sales_dataset[[#This Row],[ProductCategory cleaned]])</f>
        <v>Home</v>
      </c>
      <c r="L20" s="1" t="str">
        <f>PROPER(sales_dataset[[#This Row],[ProductName]])</f>
        <v>Tv</v>
      </c>
      <c r="M20">
        <f>ABS(sales_dataset!W:W)</f>
        <v>4</v>
      </c>
      <c r="N20">
        <f>ABS(sales_dataset[[#This Row],[Column4]])</f>
        <v>2000</v>
      </c>
      <c r="O20">
        <f t="shared" si="0"/>
        <v>8000</v>
      </c>
    </row>
    <row r="21" spans="1:15" x14ac:dyDescent="0.3">
      <c r="A21" s="1" t="s">
        <v>124</v>
      </c>
      <c r="B21" s="2">
        <v>45571</v>
      </c>
      <c r="C21" s="1" t="str">
        <f>IF(TRIM(sales_dataset[[#This Row],[SalesChannel]])="",sales_dataset!C22,PROPER(TRIM(sales_dataset[[#This Row],[SalesChannel]])))</f>
        <v>Offline</v>
      </c>
      <c r="D21" s="1" t="s">
        <v>97</v>
      </c>
      <c r="E21" s="1" t="str">
        <f>IF(TRIM(sales_dataset[[#This Row],[CustomerName]])="",sales_dataset!F27, PROPER(TRIM(sales_dataset[[#This Row],[CustomerName]])))</f>
        <v>Sara</v>
      </c>
      <c r="F21" s="1" t="str">
        <f>IF(TRIM(sales_dataset[[#This Row],[City]])="", sales_dataset!$H$3, PROPER(TRIM(sales_dataset[[#This Row],[City]])))</f>
        <v>Mumbai</v>
      </c>
      <c r="G21" t="str">
        <f>PROPER(sales_dataset[[#This Row],[Region cleaned]])</f>
        <v>South</v>
      </c>
      <c r="H21" t="s">
        <v>125</v>
      </c>
      <c r="I21" t="str">
        <f>IF(TRIM(sales_dataset[[#This Row],[SalespersonName]])="",I24,PROPER(TRIM(sales_dataset[[#This Row],[SalespersonName]])))</f>
        <v>Megha</v>
      </c>
      <c r="J21" s="1" t="s">
        <v>126</v>
      </c>
      <c r="K21" s="1" t="str">
        <f>PROPER(sales_dataset[[#This Row],[ProductCategory cleaned]])</f>
        <v>Clothing</v>
      </c>
      <c r="L21" s="1" t="str">
        <f>PROPER(sales_dataset[[#This Row],[ProductName]])</f>
        <v>Sofa</v>
      </c>
      <c r="M21">
        <f>ABS(sales_dataset!W:W)</f>
        <v>5</v>
      </c>
      <c r="N21">
        <f>ABS(sales_dataset[[#This Row],[Column4]])</f>
        <v>2500</v>
      </c>
      <c r="O21">
        <f t="shared" si="0"/>
        <v>12500</v>
      </c>
    </row>
    <row r="22" spans="1:15" x14ac:dyDescent="0.3">
      <c r="A22" s="1" t="s">
        <v>127</v>
      </c>
      <c r="B22" s="2">
        <v>45506</v>
      </c>
      <c r="C22" s="1" t="str">
        <f>IF(TRIM(sales_dataset[[#This Row],[SalesChannel]])="",sales_dataset!C23,PROPER(TRIM(sales_dataset[[#This Row],[SalesChannel]])))</f>
        <v>Store</v>
      </c>
      <c r="D22" s="1" t="s">
        <v>128</v>
      </c>
      <c r="E22" s="1" t="str">
        <f>IF(TRIM(sales_dataset[[#This Row],[CustomerName]])="",sales_dataset!F28, PROPER(TRIM(sales_dataset[[#This Row],[CustomerName]])))</f>
        <v>Amit</v>
      </c>
      <c r="F22" s="1" t="str">
        <f>IF(TRIM(sales_dataset[[#This Row],[City]])="", sales_dataset!$H$3, PROPER(TRIM(sales_dataset[[#This Row],[City]])))</f>
        <v>Delhi</v>
      </c>
      <c r="G22" t="str">
        <f>PROPER(sales_dataset[[#This Row],[Region cleaned]])</f>
        <v>North</v>
      </c>
      <c r="H22" t="s">
        <v>129</v>
      </c>
      <c r="I22" t="str">
        <f>IF(TRIM(sales_dataset[[#This Row],[SalespersonName]])="",I25,PROPER(TRIM(sales_dataset[[#This Row],[SalespersonName]])))</f>
        <v>Megha</v>
      </c>
      <c r="J22" s="1" t="s">
        <v>130</v>
      </c>
      <c r="K22" s="1" t="str">
        <f>PROPER(sales_dataset[[#This Row],[ProductCategory cleaned]])</f>
        <v>Electronics</v>
      </c>
      <c r="L22" s="1" t="str">
        <f>PROPER(sales_dataset[[#This Row],[ProductName]])</f>
        <v>Shirt</v>
      </c>
      <c r="M22">
        <f>ABS(sales_dataset!W:W)</f>
        <v>4</v>
      </c>
      <c r="N22">
        <f>ABS(sales_dataset[[#This Row],[Column4]])</f>
        <v>2000</v>
      </c>
      <c r="O22">
        <f t="shared" si="0"/>
        <v>8000</v>
      </c>
    </row>
    <row r="23" spans="1:15" x14ac:dyDescent="0.3">
      <c r="A23" s="1" t="s">
        <v>131</v>
      </c>
      <c r="B23" s="2">
        <v>45404</v>
      </c>
      <c r="C23" s="1" t="str">
        <f>IF(TRIM(sales_dataset[[#This Row],[SalesChannel]])="",sales_dataset!C24,PROPER(TRIM(sales_dataset[[#This Row],[SalesChannel]])))</f>
        <v>Store</v>
      </c>
      <c r="D23" s="1" t="s">
        <v>132</v>
      </c>
      <c r="E23" s="1" t="str">
        <f>IF(TRIM(sales_dataset[[#This Row],[CustomerName]])="",sales_dataset!F29, PROPER(TRIM(sales_dataset[[#This Row],[CustomerName]])))</f>
        <v>Priya</v>
      </c>
      <c r="F23" s="1" t="str">
        <f>IF(TRIM(sales_dataset[[#This Row],[City]])="", sales_dataset!$H$3, PROPER(TRIM(sales_dataset[[#This Row],[City]])))</f>
        <v>Bengaluru</v>
      </c>
      <c r="G23" t="str">
        <f>PROPER(sales_dataset[[#This Row],[Region cleaned]])</f>
        <v>East</v>
      </c>
      <c r="H23" t="s">
        <v>38</v>
      </c>
      <c r="I23" t="str">
        <f>IF(TRIM(sales_dataset[[#This Row],[SalespersonName]])="",I26,PROPER(TRIM(sales_dataset[[#This Row],[SalespersonName]])))</f>
        <v>Anita</v>
      </c>
      <c r="J23" s="1" t="s">
        <v>133</v>
      </c>
      <c r="K23" s="1" t="str">
        <f>PROPER(sales_dataset[[#This Row],[ProductCategory cleaned]])</f>
        <v>Clothing</v>
      </c>
      <c r="L23" s="1" t="str">
        <f>PROPER(sales_dataset[[#This Row],[ProductName]])</f>
        <v>Laptop</v>
      </c>
      <c r="M23">
        <f>ABS(sales_dataset!W:W)</f>
        <v>2</v>
      </c>
      <c r="N23">
        <f>ABS(sales_dataset[[#This Row],[Column4]])</f>
        <v>2000</v>
      </c>
      <c r="O23">
        <f t="shared" si="0"/>
        <v>4000</v>
      </c>
    </row>
    <row r="24" spans="1:15" x14ac:dyDescent="0.3">
      <c r="A24" s="1" t="s">
        <v>134</v>
      </c>
      <c r="B24" s="2">
        <v>45521</v>
      </c>
      <c r="C24" s="1" t="str">
        <f>IF(TRIM(sales_dataset[[#This Row],[SalesChannel]])="",sales_dataset!C25,PROPER(TRIM(sales_dataset[[#This Row],[SalesChannel]])))</f>
        <v>Online</v>
      </c>
      <c r="D24" s="1" t="s">
        <v>135</v>
      </c>
      <c r="E24" s="1" t="str">
        <f>IF(TRIM(sales_dataset[[#This Row],[CustomerName]])="",sales_dataset!F30, PROPER(TRIM(sales_dataset[[#This Row],[CustomerName]])))</f>
        <v>Priya</v>
      </c>
      <c r="F24" s="1" t="str">
        <f>IF(TRIM(sales_dataset[[#This Row],[City]])="", sales_dataset!$H$3, PROPER(TRIM(sales_dataset[[#This Row],[City]])))</f>
        <v>Mumbai</v>
      </c>
      <c r="G24" t="str">
        <f>PROPER(sales_dataset[[#This Row],[Region cleaned]])</f>
        <v>North</v>
      </c>
      <c r="H24" t="s">
        <v>136</v>
      </c>
      <c r="I24" t="str">
        <f>IF(TRIM(sales_dataset[[#This Row],[SalespersonName]])="",I27,PROPER(TRIM(sales_dataset[[#This Row],[SalespersonName]])))</f>
        <v>Kevin</v>
      </c>
      <c r="J24" s="1" t="s">
        <v>137</v>
      </c>
      <c r="K24" s="1" t="str">
        <f>PROPER(sales_dataset[[#This Row],[ProductCategory cleaned]])</f>
        <v>Electronics</v>
      </c>
      <c r="L24" s="1" t="str">
        <f>PROPER(sales_dataset[[#This Row],[ProductName]])</f>
        <v>Watch</v>
      </c>
      <c r="M24">
        <f>ABS(sales_dataset!W:W)</f>
        <v>3</v>
      </c>
      <c r="N24">
        <f>ABS(sales_dataset[[#This Row],[Column4]])</f>
        <v>2500</v>
      </c>
      <c r="O24">
        <f t="shared" si="0"/>
        <v>7500</v>
      </c>
    </row>
    <row r="25" spans="1:15" x14ac:dyDescent="0.3">
      <c r="A25" s="1" t="s">
        <v>138</v>
      </c>
      <c r="B25" s="2">
        <v>45434</v>
      </c>
      <c r="C25" s="1" t="str">
        <f>IF(TRIM(sales_dataset[[#This Row],[SalesChannel]])="",sales_dataset!C26,PROPER(TRIM(sales_dataset[[#This Row],[SalesChannel]])))</f>
        <v>Online</v>
      </c>
      <c r="D25" s="1" t="s">
        <v>139</v>
      </c>
      <c r="E25" s="1" t="str">
        <f>IF(TRIM(sales_dataset[[#This Row],[CustomerName]])="",sales_dataset!F31, PROPER(TRIM(sales_dataset[[#This Row],[CustomerName]])))</f>
        <v>Priya</v>
      </c>
      <c r="F25" s="1" t="str">
        <f>IF(TRIM(sales_dataset[[#This Row],[City]])="", sales_dataset!$H$3, PROPER(TRIM(sales_dataset[[#This Row],[City]])))</f>
        <v>Delhi</v>
      </c>
      <c r="G25" t="str">
        <f>PROPER(sales_dataset[[#This Row],[Region cleaned]])</f>
        <v>North</v>
      </c>
      <c r="H25" t="s">
        <v>140</v>
      </c>
      <c r="I25" t="str">
        <f>IF(TRIM(sales_dataset[[#This Row],[SalespersonName]])="",I28,PROPER(TRIM(sales_dataset[[#This Row],[SalespersonName]])))</f>
        <v>Megha</v>
      </c>
      <c r="J25" s="1" t="s">
        <v>141</v>
      </c>
      <c r="K25" s="1" t="str">
        <f>PROPER(sales_dataset[[#This Row],[ProductCategory cleaned]])</f>
        <v>Home</v>
      </c>
      <c r="L25" s="1" t="str">
        <f>PROPER(sales_dataset[[#This Row],[ProductName]])</f>
        <v>Sofa</v>
      </c>
      <c r="M25">
        <f>ABS(sales_dataset!W:W)</f>
        <v>1</v>
      </c>
      <c r="N25">
        <f>ABS(sales_dataset[[#This Row],[Column4]])</f>
        <v>1500</v>
      </c>
      <c r="O25">
        <f t="shared" si="0"/>
        <v>1500</v>
      </c>
    </row>
    <row r="26" spans="1:15" x14ac:dyDescent="0.3">
      <c r="A26" s="1" t="s">
        <v>142</v>
      </c>
      <c r="B26" s="2">
        <v>45295</v>
      </c>
      <c r="C26" s="1" t="str">
        <f>IF(TRIM(sales_dataset[[#This Row],[SalesChannel]])="",sales_dataset!C27,PROPER(TRIM(sales_dataset[[#This Row],[SalesChannel]])))</f>
        <v>Online</v>
      </c>
      <c r="D26" s="1" t="s">
        <v>143</v>
      </c>
      <c r="E26" s="1" t="str">
        <f>IF(TRIM(sales_dataset[[#This Row],[CustomerName]])="",sales_dataset!F32, PROPER(TRIM(sales_dataset[[#This Row],[CustomerName]])))</f>
        <v>Amit</v>
      </c>
      <c r="F26" s="1" t="str">
        <f>IF(TRIM(sales_dataset[[#This Row],[City]])="", sales_dataset!$H$3, PROPER(TRIM(sales_dataset[[#This Row],[City]])))</f>
        <v>Mumbai</v>
      </c>
      <c r="G26" t="str">
        <f>PROPER(sales_dataset[[#This Row],[Region cleaned]])</f>
        <v>North</v>
      </c>
      <c r="H26" t="s">
        <v>119</v>
      </c>
      <c r="I26" t="str">
        <f>IF(TRIM(sales_dataset[[#This Row],[SalespersonName]])="",I29,PROPER(TRIM(sales_dataset[[#This Row],[SalespersonName]])))</f>
        <v>Kevin</v>
      </c>
      <c r="J26" s="1" t="s">
        <v>144</v>
      </c>
      <c r="K26" s="1" t="str">
        <f>PROPER(sales_dataset[[#This Row],[ProductCategory cleaned]])</f>
        <v>Electronics</v>
      </c>
      <c r="L26" s="1" t="str">
        <f>PROPER(sales_dataset[[#This Row],[ProductName]])</f>
        <v>Laptop</v>
      </c>
      <c r="M26">
        <f>ABS(sales_dataset!W:W)</f>
        <v>0</v>
      </c>
      <c r="N26">
        <f>ABS(sales_dataset[[#This Row],[Column4]])</f>
        <v>1500</v>
      </c>
      <c r="O26">
        <f t="shared" si="0"/>
        <v>0</v>
      </c>
    </row>
    <row r="27" spans="1:15" x14ac:dyDescent="0.3">
      <c r="A27" s="1" t="s">
        <v>145</v>
      </c>
      <c r="B27" s="2">
        <v>45373</v>
      </c>
      <c r="C27" s="1" t="str">
        <f>IF(TRIM(sales_dataset[[#This Row],[SalesChannel]])="",sales_dataset!C28,PROPER(TRIM(sales_dataset[[#This Row],[SalesChannel]])))</f>
        <v>Offline</v>
      </c>
      <c r="D27" s="1" t="s">
        <v>146</v>
      </c>
      <c r="E27" s="1" t="str">
        <f>IF(TRIM(sales_dataset[[#This Row],[CustomerName]])="",sales_dataset!F33, PROPER(TRIM(sales_dataset[[#This Row],[CustomerName]])))</f>
        <v>priya</v>
      </c>
      <c r="F27" s="1" t="str">
        <f>IF(TRIM(sales_dataset[[#This Row],[City]])="", sales_dataset!$H$3, PROPER(TRIM(sales_dataset[[#This Row],[City]])))</f>
        <v>Chennai</v>
      </c>
      <c r="G27" t="str">
        <f>PROPER(sales_dataset[[#This Row],[Region cleaned]])</f>
        <v>North</v>
      </c>
      <c r="H27" t="s">
        <v>148</v>
      </c>
      <c r="I27" t="str">
        <f>IF(TRIM(sales_dataset[[#This Row],[SalespersonName]])="",I30,PROPER(TRIM(sales_dataset[[#This Row],[SalespersonName]])))</f>
        <v>Megha</v>
      </c>
      <c r="J27" s="1" t="s">
        <v>149</v>
      </c>
      <c r="K27" s="1" t="str">
        <f>PROPER(sales_dataset[[#This Row],[ProductCategory cleaned]])</f>
        <v>Clothing</v>
      </c>
      <c r="L27" s="1" t="str">
        <f>PROPER(sales_dataset[[#This Row],[ProductName]])</f>
        <v>Tv</v>
      </c>
      <c r="M27">
        <f>ABS(sales_dataset!W:W)</f>
        <v>2</v>
      </c>
      <c r="N27">
        <f>ABS(sales_dataset[[#This Row],[Column4]])</f>
        <v>2500</v>
      </c>
      <c r="O27">
        <f t="shared" si="0"/>
        <v>5000</v>
      </c>
    </row>
    <row r="28" spans="1:15" x14ac:dyDescent="0.3">
      <c r="A28" s="1" t="s">
        <v>150</v>
      </c>
      <c r="B28" s="2">
        <v>45508</v>
      </c>
      <c r="C28" s="1" t="str">
        <f>IF(TRIM(sales_dataset[[#This Row],[SalesChannel]])="",sales_dataset!C29,PROPER(TRIM(sales_dataset[[#This Row],[SalesChannel]])))</f>
        <v>Store</v>
      </c>
      <c r="D28" s="1" t="s">
        <v>151</v>
      </c>
      <c r="E28" s="1" t="str">
        <f>IF(TRIM(sales_dataset[[#This Row],[CustomerName]])="",sales_dataset!F34, PROPER(TRIM(sales_dataset[[#This Row],[CustomerName]])))</f>
        <v>Sara</v>
      </c>
      <c r="F28" s="1" t="str">
        <f>IF(TRIM(sales_dataset[[#This Row],[City]])="", sales_dataset!$H$3, PROPER(TRIM(sales_dataset[[#This Row],[City]])))</f>
        <v>Hyderabad</v>
      </c>
      <c r="G28" t="str">
        <f>PROPER(sales_dataset[[#This Row],[Region cleaned]])</f>
        <v>North</v>
      </c>
      <c r="H28" t="s">
        <v>152</v>
      </c>
      <c r="I28" t="str">
        <f>IF(TRIM(sales_dataset[[#This Row],[SalespersonName]])="",I31,PROPER(TRIM(sales_dataset[[#This Row],[SalespersonName]])))</f>
        <v>Raj</v>
      </c>
      <c r="J28" s="1" t="s">
        <v>153</v>
      </c>
      <c r="K28" s="1" t="str">
        <f>PROPER(sales_dataset[[#This Row],[ProductCategory cleaned]])</f>
        <v>Electronics</v>
      </c>
      <c r="L28" s="1" t="str">
        <f>PROPER(sales_dataset[[#This Row],[ProductName]])</f>
        <v>Tv</v>
      </c>
      <c r="M28">
        <f>ABS(sales_dataset!W:W)</f>
        <v>1</v>
      </c>
      <c r="N28">
        <f>ABS(sales_dataset[[#This Row],[Column4]])</f>
        <v>100</v>
      </c>
      <c r="O28">
        <f t="shared" si="0"/>
        <v>100</v>
      </c>
    </row>
    <row r="29" spans="1:15" x14ac:dyDescent="0.3">
      <c r="A29" s="1" t="s">
        <v>154</v>
      </c>
      <c r="B29" s="2">
        <v>45466</v>
      </c>
      <c r="C29" s="1" t="str">
        <f>IF(TRIM(sales_dataset[[#This Row],[SalesChannel]])="",sales_dataset!C30,PROPER(TRIM(sales_dataset[[#This Row],[SalesChannel]])))</f>
        <v>Store</v>
      </c>
      <c r="D29" s="1" t="s">
        <v>155</v>
      </c>
      <c r="E29" s="1" t="str">
        <f>IF(TRIM(sales_dataset[[#This Row],[CustomerName]])="",sales_dataset!F35, PROPER(TRIM(sales_dataset[[#This Row],[CustomerName]])))</f>
        <v>David</v>
      </c>
      <c r="F29" s="1" t="str">
        <f>IF(TRIM(sales_dataset[[#This Row],[City]])="", sales_dataset!$H$3, PROPER(TRIM(sales_dataset[[#This Row],[City]])))</f>
        <v>Mumbai</v>
      </c>
      <c r="G29" t="str">
        <f>PROPER(sales_dataset[[#This Row],[Region cleaned]])</f>
        <v>North</v>
      </c>
      <c r="H29" t="s">
        <v>55</v>
      </c>
      <c r="I29" t="str">
        <f>IF(TRIM(sales_dataset[[#This Row],[SalespersonName]])="",I32,PROPER(TRIM(sales_dataset[[#This Row],[SalespersonName]])))</f>
        <v>Raj</v>
      </c>
      <c r="J29" s="1" t="s">
        <v>156</v>
      </c>
      <c r="K29" s="1" t="str">
        <f>PROPER(sales_dataset[[#This Row],[ProductCategory cleaned]])</f>
        <v>Electronics</v>
      </c>
      <c r="L29" s="1" t="str">
        <f>PROPER(sales_dataset[[#This Row],[ProductName]])</f>
        <v>Shirt</v>
      </c>
      <c r="M29">
        <f>ABS(sales_dataset!W:W)</f>
        <v>1</v>
      </c>
      <c r="N29">
        <f>ABS(sales_dataset[[#This Row],[Column4]])</f>
        <v>100</v>
      </c>
      <c r="O29">
        <f t="shared" si="0"/>
        <v>100</v>
      </c>
    </row>
    <row r="30" spans="1:15" x14ac:dyDescent="0.3">
      <c r="A30" s="1" t="s">
        <v>157</v>
      </c>
      <c r="B30" s="2">
        <v>45434</v>
      </c>
      <c r="C30" s="1" t="str">
        <f>IF(TRIM(sales_dataset[[#This Row],[SalesChannel]])="",sales_dataset!C31,PROPER(TRIM(sales_dataset[[#This Row],[SalesChannel]])))</f>
        <v>Online</v>
      </c>
      <c r="D30" s="1" t="s">
        <v>158</v>
      </c>
      <c r="E30" s="1" t="str">
        <f>IF(TRIM(sales_dataset[[#This Row],[CustomerName]])="",sales_dataset!F36, PROPER(TRIM(sales_dataset[[#This Row],[CustomerName]])))</f>
        <v>David</v>
      </c>
      <c r="F30" s="1" t="str">
        <f>IF(TRIM(sales_dataset[[#This Row],[City]])="", sales_dataset!$H$3, PROPER(TRIM(sales_dataset[[#This Row],[City]])))</f>
        <v>Mumbai</v>
      </c>
      <c r="G30" t="str">
        <f>PROPER(sales_dataset[[#This Row],[Region cleaned]])</f>
        <v>North</v>
      </c>
      <c r="H30" t="s">
        <v>148</v>
      </c>
      <c r="I30" t="str">
        <f>IF(TRIM(sales_dataset[[#This Row],[SalespersonName]])="",I33,PROPER(TRIM(sales_dataset[[#This Row],[SalespersonName]])))</f>
        <v>Raj</v>
      </c>
      <c r="J30" s="1" t="s">
        <v>159</v>
      </c>
      <c r="K30" s="1" t="str">
        <f>PROPER(sales_dataset[[#This Row],[ProductCategory cleaned]])</f>
        <v>Electronics</v>
      </c>
      <c r="L30" s="1" t="str">
        <f>PROPER(sales_dataset[[#This Row],[ProductName]])</f>
        <v>Laptop</v>
      </c>
      <c r="M30">
        <f>ABS(sales_dataset!W:W)</f>
        <v>4</v>
      </c>
      <c r="N30">
        <f>ABS(sales_dataset[[#This Row],[Column4]])</f>
        <v>100</v>
      </c>
      <c r="O30">
        <f t="shared" si="0"/>
        <v>400</v>
      </c>
    </row>
    <row r="31" spans="1:15" x14ac:dyDescent="0.3">
      <c r="A31" s="1" t="s">
        <v>160</v>
      </c>
      <c r="B31" s="2">
        <v>45371</v>
      </c>
      <c r="C31" s="1" t="str">
        <f>IF(TRIM(sales_dataset[[#This Row],[SalesChannel]])="",sales_dataset!C32,PROPER(TRIM(sales_dataset[[#This Row],[SalesChannel]])))</f>
        <v>Online</v>
      </c>
      <c r="D31" s="1" t="s">
        <v>161</v>
      </c>
      <c r="E31" s="1" t="str">
        <f>IF(TRIM(sales_dataset[[#This Row],[CustomerName]])="",sales_dataset!F37, PROPER(TRIM(sales_dataset[[#This Row],[CustomerName]])))</f>
        <v>Sara</v>
      </c>
      <c r="F31" s="1" t="str">
        <f>IF(TRIM(sales_dataset[[#This Row],[City]])="", sales_dataset!$H$3, PROPER(TRIM(sales_dataset[[#This Row],[City]])))</f>
        <v>Mumbai</v>
      </c>
      <c r="G31" t="str">
        <f>PROPER(sales_dataset[[#This Row],[Region cleaned]])</f>
        <v>East</v>
      </c>
      <c r="H31" t="s">
        <v>162</v>
      </c>
      <c r="I31" t="str">
        <f>IF(TRIM(sales_dataset[[#This Row],[SalespersonName]])="",I34,PROPER(TRIM(sales_dataset[[#This Row],[SalespersonName]])))</f>
        <v>Raj</v>
      </c>
      <c r="J31" s="1" t="s">
        <v>163</v>
      </c>
      <c r="K31" s="1" t="str">
        <f>PROPER(sales_dataset[[#This Row],[ProductCategory cleaned]])</f>
        <v>Clothing</v>
      </c>
      <c r="L31" s="1" t="str">
        <f>PROPER(sales_dataset[[#This Row],[ProductName]])</f>
        <v>Laptop</v>
      </c>
      <c r="M31">
        <f>ABS(sales_dataset!W:W)</f>
        <v>3</v>
      </c>
      <c r="N31">
        <f>ABS(sales_dataset[[#This Row],[Column4]])</f>
        <v>100</v>
      </c>
      <c r="O31">
        <f t="shared" si="0"/>
        <v>300</v>
      </c>
    </row>
    <row r="32" spans="1:15" x14ac:dyDescent="0.3">
      <c r="A32" s="1" t="s">
        <v>164</v>
      </c>
      <c r="B32" s="2">
        <v>45402</v>
      </c>
      <c r="C32" s="1" t="str">
        <f>IF(TRIM(sales_dataset[[#This Row],[SalesChannel]])="",sales_dataset!C33,PROPER(TRIM(sales_dataset[[#This Row],[SalesChannel]])))</f>
        <v>Online</v>
      </c>
      <c r="D32" s="1" t="s">
        <v>165</v>
      </c>
      <c r="E32" s="1" t="str">
        <f>IF(TRIM(sales_dataset[[#This Row],[CustomerName]])="",sales_dataset!F38, PROPER(TRIM(sales_dataset[[#This Row],[CustomerName]])))</f>
        <v>Amit</v>
      </c>
      <c r="F32" s="1" t="str">
        <f>IF(TRIM(sales_dataset[[#This Row],[City]])="", sales_dataset!$H$3, PROPER(TRIM(sales_dataset[[#This Row],[City]])))</f>
        <v>Chennai</v>
      </c>
      <c r="G32" t="str">
        <f>PROPER(sales_dataset[[#This Row],[Region cleaned]])</f>
        <v>North</v>
      </c>
      <c r="H32" t="s">
        <v>148</v>
      </c>
      <c r="I32" t="str">
        <f>IF(TRIM(sales_dataset[[#This Row],[SalespersonName]])="",I35,PROPER(TRIM(sales_dataset[[#This Row],[SalespersonName]])))</f>
        <v>Anita</v>
      </c>
      <c r="J32" s="1" t="s">
        <v>166</v>
      </c>
      <c r="K32" s="1" t="str">
        <f>PROPER(sales_dataset[[#This Row],[ProductCategory cleaned]])</f>
        <v>Electronics</v>
      </c>
      <c r="L32" s="1" t="str">
        <f>PROPER(sales_dataset[[#This Row],[ProductName]])</f>
        <v>Sofa</v>
      </c>
      <c r="M32">
        <f>ABS(sales_dataset!W:W)</f>
        <v>4</v>
      </c>
      <c r="N32">
        <f>ABS(sales_dataset[[#This Row],[Column4]])</f>
        <v>2000</v>
      </c>
      <c r="O32">
        <f t="shared" si="0"/>
        <v>8000</v>
      </c>
    </row>
    <row r="33" spans="1:15" x14ac:dyDescent="0.3">
      <c r="A33" s="1" t="s">
        <v>167</v>
      </c>
      <c r="B33" s="2">
        <v>45464</v>
      </c>
      <c r="C33" s="1" t="str">
        <f>IF(TRIM(sales_dataset[[#This Row],[SalesChannel]])="",sales_dataset!C34,PROPER(TRIM(sales_dataset[[#This Row],[SalesChannel]])))</f>
        <v>Offline</v>
      </c>
      <c r="D33" s="1" t="s">
        <v>168</v>
      </c>
      <c r="E33" s="1" t="str">
        <f>IF(TRIM(sales_dataset[[#This Row],[CustomerName]])="",sales_dataset!F39, PROPER(TRIM(sales_dataset[[#This Row],[CustomerName]])))</f>
        <v>Priya</v>
      </c>
      <c r="F33" s="1" t="str">
        <f>IF(TRIM(sales_dataset[[#This Row],[City]])="", sales_dataset!$H$3, PROPER(TRIM(sales_dataset[[#This Row],[City]])))</f>
        <v>Chennai</v>
      </c>
      <c r="G33" t="str">
        <f>PROPER(sales_dataset[[#This Row],[Region cleaned]])</f>
        <v>South</v>
      </c>
      <c r="H33" t="s">
        <v>169</v>
      </c>
      <c r="I33" t="str">
        <f>IF(TRIM(sales_dataset[[#This Row],[SalespersonName]])="",I36,PROPER(TRIM(sales_dataset[[#This Row],[SalespersonName]])))</f>
        <v>Sam</v>
      </c>
      <c r="J33" s="1" t="s">
        <v>170</v>
      </c>
      <c r="K33" s="1" t="str">
        <f>PROPER(sales_dataset[[#This Row],[ProductCategory cleaned]])</f>
        <v>Electronics</v>
      </c>
      <c r="L33" s="1" t="str">
        <f>PROPER(sales_dataset[[#This Row],[ProductName]])</f>
        <v>Shirt</v>
      </c>
      <c r="M33">
        <f>ABS(sales_dataset!W:W)</f>
        <v>2</v>
      </c>
      <c r="N33">
        <f>ABS(sales_dataset[[#This Row],[Column4]])</f>
        <v>100</v>
      </c>
      <c r="O33">
        <f t="shared" si="0"/>
        <v>200</v>
      </c>
    </row>
    <row r="34" spans="1:15" x14ac:dyDescent="0.3">
      <c r="A34" s="1" t="s">
        <v>171</v>
      </c>
      <c r="B34" s="2">
        <v>45344</v>
      </c>
      <c r="C34" s="1" t="str">
        <f>IF(TRIM(sales_dataset[[#This Row],[SalesChannel]])="",sales_dataset!C35,PROPER(TRIM(sales_dataset[[#This Row],[SalesChannel]])))</f>
        <v>Store</v>
      </c>
      <c r="D34" s="1" t="s">
        <v>172</v>
      </c>
      <c r="E34" s="1" t="str">
        <f>IF(TRIM(sales_dataset[[#This Row],[CustomerName]])="",sales_dataset!F40, PROPER(TRIM(sales_dataset[[#This Row],[CustomerName]])))</f>
        <v>David</v>
      </c>
      <c r="F34" s="1" t="str">
        <f>IF(TRIM(sales_dataset[[#This Row],[City]])="", sales_dataset!$H$3, PROPER(TRIM(sales_dataset[[#This Row],[City]])))</f>
        <v>Delhi</v>
      </c>
      <c r="G34" t="str">
        <f>PROPER(sales_dataset[[#This Row],[Region cleaned]])</f>
        <v>North</v>
      </c>
      <c r="H34" t="s">
        <v>173</v>
      </c>
      <c r="I34" t="str">
        <f>IF(TRIM(sales_dataset[[#This Row],[SalespersonName]])="",I37,PROPER(TRIM(sales_dataset[[#This Row],[SalespersonName]])))</f>
        <v>Raj</v>
      </c>
      <c r="J34" s="1" t="s">
        <v>174</v>
      </c>
      <c r="K34" s="1" t="str">
        <f>PROPER(sales_dataset[[#This Row],[ProductCategory cleaned]])</f>
        <v>Electronics</v>
      </c>
      <c r="L34" s="1" t="str">
        <f>PROPER(sales_dataset[[#This Row],[ProductName]])</f>
        <v>Watch</v>
      </c>
      <c r="M34">
        <f>ABS(sales_dataset!W:W)</f>
        <v>3</v>
      </c>
      <c r="N34">
        <f>ABS(sales_dataset[[#This Row],[Column4]])</f>
        <v>100</v>
      </c>
      <c r="O34">
        <f t="shared" si="0"/>
        <v>300</v>
      </c>
    </row>
    <row r="35" spans="1:15" x14ac:dyDescent="0.3">
      <c r="A35" s="1" t="s">
        <v>175</v>
      </c>
      <c r="B35" s="2">
        <v>45339</v>
      </c>
      <c r="C35" s="1" t="str">
        <f>IF(TRIM(sales_dataset[[#This Row],[SalesChannel]])="",sales_dataset!C36,PROPER(TRIM(sales_dataset[[#This Row],[SalesChannel]])))</f>
        <v>Store</v>
      </c>
      <c r="D35" s="1" t="s">
        <v>176</v>
      </c>
      <c r="E35" s="1" t="str">
        <f>IF(TRIM(sales_dataset[[#This Row],[CustomerName]])="",sales_dataset!F41, PROPER(TRIM(sales_dataset[[#This Row],[CustomerName]])))</f>
        <v>David</v>
      </c>
      <c r="F35" s="1" t="str">
        <f>IF(TRIM(sales_dataset[[#This Row],[City]])="", sales_dataset!$H$3, PROPER(TRIM(sales_dataset[[#This Row],[City]])))</f>
        <v>Bengaluru</v>
      </c>
      <c r="G35" t="str">
        <f>PROPER(sales_dataset[[#This Row],[Region cleaned]])</f>
        <v>West</v>
      </c>
      <c r="H35" t="s">
        <v>177</v>
      </c>
      <c r="I35" t="str">
        <f>IF(TRIM(sales_dataset[[#This Row],[SalespersonName]])="",I38,PROPER(TRIM(sales_dataset[[#This Row],[SalespersonName]])))</f>
        <v>Megha</v>
      </c>
      <c r="J35" s="1" t="s">
        <v>178</v>
      </c>
      <c r="K35" s="1" t="str">
        <f>PROPER(sales_dataset[[#This Row],[ProductCategory cleaned]])</f>
        <v>Clothing</v>
      </c>
      <c r="L35" s="1" t="str">
        <f>PROPER(sales_dataset[[#This Row],[ProductName]])</f>
        <v>Shirt</v>
      </c>
      <c r="M35">
        <f>ABS(sales_dataset!W:W)</f>
        <v>1</v>
      </c>
      <c r="N35">
        <f>ABS(sales_dataset[[#This Row],[Column4]])</f>
        <v>2000</v>
      </c>
      <c r="O35">
        <f t="shared" si="0"/>
        <v>2000</v>
      </c>
    </row>
    <row r="36" spans="1:15" x14ac:dyDescent="0.3">
      <c r="A36" s="1" t="s">
        <v>179</v>
      </c>
      <c r="B36" s="2">
        <v>45486</v>
      </c>
      <c r="C36" s="1" t="str">
        <f>IF(TRIM(sales_dataset[[#This Row],[SalesChannel]])="",sales_dataset!C37,PROPER(TRIM(sales_dataset[[#This Row],[SalesChannel]])))</f>
        <v>Online</v>
      </c>
      <c r="D36" s="1" t="s">
        <v>180</v>
      </c>
      <c r="E36" s="1" t="str">
        <f>IF(TRIM(sales_dataset[[#This Row],[CustomerName]])="",sales_dataset!F42, PROPER(TRIM(sales_dataset[[#This Row],[CustomerName]])))</f>
        <v>Sara</v>
      </c>
      <c r="F36" s="1" t="str">
        <f>IF(TRIM(sales_dataset[[#This Row],[City]])="", sales_dataset!$H$3, PROPER(TRIM(sales_dataset[[#This Row],[City]])))</f>
        <v>Hyderabad</v>
      </c>
      <c r="G36" t="str">
        <f>PROPER(sales_dataset[[#This Row],[Region cleaned]])</f>
        <v>South</v>
      </c>
      <c r="H36" t="s">
        <v>152</v>
      </c>
      <c r="I36" t="str">
        <f>IF(TRIM(sales_dataset[[#This Row],[SalespersonName]])="",I39,PROPER(TRIM(sales_dataset[[#This Row],[SalespersonName]])))</f>
        <v>Megha</v>
      </c>
      <c r="J36" s="1" t="s">
        <v>181</v>
      </c>
      <c r="K36" s="1" t="str">
        <f>PROPER(sales_dataset[[#This Row],[ProductCategory cleaned]])</f>
        <v>Electronics</v>
      </c>
      <c r="L36" s="1" t="str">
        <f>PROPER(sales_dataset[[#This Row],[ProductName]])</f>
        <v>Shirt</v>
      </c>
      <c r="M36">
        <f>ABS(sales_dataset!W:W)</f>
        <v>1</v>
      </c>
      <c r="N36">
        <f>ABS(sales_dataset[[#This Row],[Column4]])</f>
        <v>100</v>
      </c>
      <c r="O36">
        <f t="shared" si="0"/>
        <v>100</v>
      </c>
    </row>
    <row r="37" spans="1:15" x14ac:dyDescent="0.3">
      <c r="A37" s="1" t="s">
        <v>182</v>
      </c>
      <c r="B37" s="2">
        <v>45341</v>
      </c>
      <c r="C37" s="1" t="str">
        <f>IF(TRIM(sales_dataset[[#This Row],[SalesChannel]])="",sales_dataset!C38,PROPER(TRIM(sales_dataset[[#This Row],[SalesChannel]])))</f>
        <v>Online</v>
      </c>
      <c r="D37" s="1" t="s">
        <v>183</v>
      </c>
      <c r="E37" s="1" t="str">
        <f>IF(TRIM(sales_dataset[[#This Row],[CustomerName]])="",sales_dataset!F43, PROPER(TRIM(sales_dataset[[#This Row],[CustomerName]])))</f>
        <v>Sara</v>
      </c>
      <c r="F37" s="1" t="str">
        <f>IF(TRIM(sales_dataset[[#This Row],[City]])="", sales_dataset!$H$3, PROPER(TRIM(sales_dataset[[#This Row],[City]])))</f>
        <v>Hyderabad</v>
      </c>
      <c r="G37" t="str">
        <f>PROPER(sales_dataset[[#This Row],[Region cleaned]])</f>
        <v>South</v>
      </c>
      <c r="H37" t="s">
        <v>55</v>
      </c>
      <c r="I37" t="str">
        <f>IF(TRIM(sales_dataset[[#This Row],[SalespersonName]])="",I40,PROPER(TRIM(sales_dataset[[#This Row],[SalespersonName]])))</f>
        <v>Raj</v>
      </c>
      <c r="J37" s="1" t="s">
        <v>184</v>
      </c>
      <c r="K37" s="1" t="str">
        <f>PROPER(sales_dataset[[#This Row],[ProductCategory cleaned]])</f>
        <v>Home</v>
      </c>
      <c r="L37" s="1" t="str">
        <f>PROPER(sales_dataset[[#This Row],[ProductName]])</f>
        <v>Watch</v>
      </c>
      <c r="M37">
        <f>ABS(sales_dataset!W:W)</f>
        <v>1</v>
      </c>
      <c r="N37">
        <f>ABS(sales_dataset[[#This Row],[Column4]])</f>
        <v>100</v>
      </c>
      <c r="O37">
        <f t="shared" si="0"/>
        <v>100</v>
      </c>
    </row>
    <row r="38" spans="1:15" x14ac:dyDescent="0.3">
      <c r="A38" s="1" t="s">
        <v>185</v>
      </c>
      <c r="B38" s="2">
        <v>45475</v>
      </c>
      <c r="C38" s="1" t="str">
        <f>IF(TRIM(sales_dataset[[#This Row],[SalesChannel]])="",sales_dataset!C39,PROPER(TRIM(sales_dataset[[#This Row],[SalesChannel]])))</f>
        <v>Online</v>
      </c>
      <c r="D38" s="1" t="s">
        <v>186</v>
      </c>
      <c r="E38" s="1" t="str">
        <f>IF(TRIM(sales_dataset[[#This Row],[CustomerName]])="",sales_dataset!F44, PROPER(TRIM(sales_dataset[[#This Row],[CustomerName]])))</f>
        <v>Amit</v>
      </c>
      <c r="F38" s="1" t="str">
        <f>IF(TRIM(sales_dataset[[#This Row],[City]])="", sales_dataset!$H$3, PROPER(TRIM(sales_dataset[[#This Row],[City]])))</f>
        <v>Mumbai</v>
      </c>
      <c r="G38" t="str">
        <f>PROPER(sales_dataset[[#This Row],[Region cleaned]])</f>
        <v>South</v>
      </c>
      <c r="H38" t="s">
        <v>47</v>
      </c>
      <c r="I38" t="str">
        <f>IF(TRIM(sales_dataset[[#This Row],[SalespersonName]])="",I41,PROPER(TRIM(sales_dataset[[#This Row],[SalespersonName]])))</f>
        <v>Raj</v>
      </c>
      <c r="J38" s="1" t="s">
        <v>187</v>
      </c>
      <c r="K38" s="1" t="str">
        <f>PROPER(sales_dataset[[#This Row],[ProductCategory cleaned]])</f>
        <v>Home</v>
      </c>
      <c r="L38" s="1" t="str">
        <f>PROPER(sales_dataset[[#This Row],[ProductName]])</f>
        <v>Shirt</v>
      </c>
      <c r="M38">
        <f>ABS(sales_dataset!W:W)</f>
        <v>4</v>
      </c>
      <c r="N38">
        <f>ABS(sales_dataset[[#This Row],[Column4]])</f>
        <v>1500</v>
      </c>
      <c r="O38">
        <f t="shared" si="0"/>
        <v>6000</v>
      </c>
    </row>
    <row r="39" spans="1:15" x14ac:dyDescent="0.3">
      <c r="A39" s="1" t="s">
        <v>188</v>
      </c>
      <c r="B39" s="2">
        <v>45468</v>
      </c>
      <c r="C39" s="1" t="str">
        <f>IF(TRIM(sales_dataset[[#This Row],[SalesChannel]])="",sales_dataset!C40,PROPER(TRIM(sales_dataset[[#This Row],[SalesChannel]])))</f>
        <v>Offline</v>
      </c>
      <c r="D39" s="1" t="s">
        <v>189</v>
      </c>
      <c r="E39" s="1" t="str">
        <f>IF(TRIM(sales_dataset[[#This Row],[CustomerName]])="",sales_dataset!F45, PROPER(TRIM(sales_dataset[[#This Row],[CustomerName]])))</f>
        <v>John</v>
      </c>
      <c r="F39" s="1" t="str">
        <f>IF(TRIM(sales_dataset[[#This Row],[City]])="", sales_dataset!$H$3, PROPER(TRIM(sales_dataset[[#This Row],[City]])))</f>
        <v>Chennai</v>
      </c>
      <c r="G39" t="str">
        <f>PROPER(sales_dataset[[#This Row],[Region cleaned]])</f>
        <v>South</v>
      </c>
      <c r="H39" t="s">
        <v>190</v>
      </c>
      <c r="I39" t="str">
        <f>IF(TRIM(sales_dataset[[#This Row],[SalespersonName]])="",I42,PROPER(TRIM(sales_dataset[[#This Row],[SalespersonName]])))</f>
        <v>Sam</v>
      </c>
      <c r="J39" s="1" t="s">
        <v>191</v>
      </c>
      <c r="K39" s="1" t="str">
        <f>PROPER(sales_dataset[[#This Row],[ProductCategory cleaned]])</f>
        <v>Clothing</v>
      </c>
      <c r="L39" s="1" t="str">
        <f>PROPER(sales_dataset[[#This Row],[ProductName]])</f>
        <v>Shirt</v>
      </c>
      <c r="M39">
        <f>ABS(sales_dataset!W:W)</f>
        <v>3</v>
      </c>
      <c r="N39">
        <f>ABS(sales_dataset[[#This Row],[Column4]])</f>
        <v>100</v>
      </c>
      <c r="O39">
        <f t="shared" si="0"/>
        <v>300</v>
      </c>
    </row>
    <row r="40" spans="1:15" x14ac:dyDescent="0.3">
      <c r="A40" s="1" t="s">
        <v>192</v>
      </c>
      <c r="B40" s="2">
        <v>45427</v>
      </c>
      <c r="C40" s="1" t="str">
        <f>IF(TRIM(sales_dataset[[#This Row],[SalesChannel]])="",sales_dataset!C41,PROPER(TRIM(sales_dataset[[#This Row],[SalesChannel]])))</f>
        <v>Store</v>
      </c>
      <c r="D40" s="1" t="s">
        <v>44</v>
      </c>
      <c r="E40" s="1" t="str">
        <f>IF(TRIM(sales_dataset[[#This Row],[CustomerName]])="",sales_dataset!F46, PROPER(TRIM(sales_dataset[[#This Row],[CustomerName]])))</f>
        <v>David</v>
      </c>
      <c r="F40" s="1" t="str">
        <f>IF(TRIM(sales_dataset[[#This Row],[City]])="", sales_dataset!$H$3, PROPER(TRIM(sales_dataset[[#This Row],[City]])))</f>
        <v>Hyderabad</v>
      </c>
      <c r="G40" t="str">
        <f>PROPER(sales_dataset[[#This Row],[Region cleaned]])</f>
        <v>North</v>
      </c>
      <c r="H40" t="s">
        <v>193</v>
      </c>
      <c r="I40" t="str">
        <f>IF(TRIM(sales_dataset[[#This Row],[SalespersonName]])="",I43,PROPER(TRIM(sales_dataset[[#This Row],[SalespersonName]])))</f>
        <v>Raj</v>
      </c>
      <c r="J40" s="1" t="s">
        <v>112</v>
      </c>
      <c r="K40" s="1" t="str">
        <f>PROPER(sales_dataset[[#This Row],[ProductCategory cleaned]])</f>
        <v>Electronics</v>
      </c>
      <c r="L40" s="1" t="str">
        <f>PROPER(sales_dataset[[#This Row],[ProductName]])</f>
        <v>Shirt</v>
      </c>
      <c r="M40">
        <f>ABS(sales_dataset!W:W)</f>
        <v>2</v>
      </c>
      <c r="N40">
        <f>ABS(sales_dataset[[#This Row],[Column4]])</f>
        <v>1500</v>
      </c>
      <c r="O40">
        <f t="shared" si="0"/>
        <v>3000</v>
      </c>
    </row>
    <row r="41" spans="1:15" x14ac:dyDescent="0.3">
      <c r="A41" s="1" t="s">
        <v>194</v>
      </c>
      <c r="B41" s="2">
        <v>45314</v>
      </c>
      <c r="C41" s="1" t="str">
        <f>IF(TRIM(sales_dataset[[#This Row],[SalesChannel]])="",sales_dataset!C42,PROPER(TRIM(sales_dataset[[#This Row],[SalesChannel]])))</f>
        <v>Store</v>
      </c>
      <c r="D41" s="1" t="s">
        <v>110</v>
      </c>
      <c r="E41" s="1" t="str">
        <f>IF(TRIM(sales_dataset[[#This Row],[CustomerName]])="",sales_dataset!F47, PROPER(TRIM(sales_dataset[[#This Row],[CustomerName]])))</f>
        <v>Priya</v>
      </c>
      <c r="F41" s="1" t="str">
        <f>IF(TRIM(sales_dataset[[#This Row],[City]])="", sales_dataset!$H$3, PROPER(TRIM(sales_dataset[[#This Row],[City]])))</f>
        <v>Delhi</v>
      </c>
      <c r="G41" t="str">
        <f>PROPER(sales_dataset[[#This Row],[Region cleaned]])</f>
        <v>South</v>
      </c>
      <c r="H41" t="s">
        <v>195</v>
      </c>
      <c r="I41" t="str">
        <f>IF(TRIM(sales_dataset[[#This Row],[SalespersonName]])="",I44,PROPER(TRIM(sales_dataset[[#This Row],[SalespersonName]])))</f>
        <v>Anita</v>
      </c>
      <c r="J41" s="1" t="s">
        <v>196</v>
      </c>
      <c r="K41" s="1" t="str">
        <f>PROPER(sales_dataset[[#This Row],[ProductCategory cleaned]])</f>
        <v>Electronics</v>
      </c>
      <c r="L41" s="1" t="str">
        <f>PROPER(sales_dataset[[#This Row],[ProductName]])</f>
        <v>Shirt</v>
      </c>
      <c r="M41">
        <f>ABS(sales_dataset!W:W)</f>
        <v>1</v>
      </c>
      <c r="N41">
        <f>ABS(sales_dataset[[#This Row],[Column4]])</f>
        <v>1500</v>
      </c>
      <c r="O41">
        <f t="shared" si="0"/>
        <v>1500</v>
      </c>
    </row>
    <row r="42" spans="1:15" x14ac:dyDescent="0.3">
      <c r="A42" s="1" t="s">
        <v>197</v>
      </c>
      <c r="B42" s="2">
        <v>45527</v>
      </c>
      <c r="C42" s="1" t="str">
        <f>IF(TRIM(sales_dataset[[#This Row],[SalesChannel]])="",sales_dataset!C43,PROPER(TRIM(sales_dataset[[#This Row],[SalesChannel]])))</f>
        <v>Online</v>
      </c>
      <c r="D42" s="1" t="s">
        <v>198</v>
      </c>
      <c r="E42" s="1" t="str">
        <f>IF(TRIM(sales_dataset[[#This Row],[CustomerName]])="",sales_dataset!F48, PROPER(TRIM(sales_dataset[[#This Row],[CustomerName]])))</f>
        <v>David</v>
      </c>
      <c r="F42" s="1" t="str">
        <f>IF(TRIM(sales_dataset[[#This Row],[City]])="", sales_dataset!$H$3, PROPER(TRIM(sales_dataset[[#This Row],[City]])))</f>
        <v>Hyderabad</v>
      </c>
      <c r="G42" t="str">
        <f>PROPER(sales_dataset[[#This Row],[Region cleaned]])</f>
        <v>North</v>
      </c>
      <c r="H42" t="s">
        <v>93</v>
      </c>
      <c r="I42" t="str">
        <f>IF(TRIM(sales_dataset[[#This Row],[SalespersonName]])="",I45,PROPER(TRIM(sales_dataset[[#This Row],[SalespersonName]])))</f>
        <v>Sam</v>
      </c>
      <c r="J42" s="1" t="s">
        <v>49</v>
      </c>
      <c r="K42" s="1" t="str">
        <f>PROPER(sales_dataset[[#This Row],[ProductCategory cleaned]])</f>
        <v>Electronics</v>
      </c>
      <c r="L42" s="1" t="str">
        <f>PROPER(sales_dataset[[#This Row],[ProductName]])</f>
        <v>Laptop</v>
      </c>
      <c r="M42">
        <f>ABS(sales_dataset!W:W)</f>
        <v>1</v>
      </c>
      <c r="N42">
        <f>ABS(sales_dataset[[#This Row],[Column4]])</f>
        <v>1500</v>
      </c>
      <c r="O42">
        <f t="shared" si="0"/>
        <v>1500</v>
      </c>
    </row>
    <row r="43" spans="1:15" x14ac:dyDescent="0.3">
      <c r="A43" s="1" t="s">
        <v>199</v>
      </c>
      <c r="B43" s="2">
        <v>45566</v>
      </c>
      <c r="C43" s="1" t="str">
        <f>IF(TRIM(sales_dataset[[#This Row],[SalesChannel]])="",sales_dataset!C44,PROPER(TRIM(sales_dataset[[#This Row],[SalesChannel]])))</f>
        <v>Online</v>
      </c>
      <c r="D43" s="1" t="s">
        <v>200</v>
      </c>
      <c r="E43" s="1" t="str">
        <f>IF(TRIM(sales_dataset[[#This Row],[CustomerName]])="",sales_dataset!F49, PROPER(TRIM(sales_dataset[[#This Row],[CustomerName]])))</f>
        <v>John</v>
      </c>
      <c r="F43" s="1" t="str">
        <f>IF(TRIM(sales_dataset[[#This Row],[City]])="", sales_dataset!$H$3, PROPER(TRIM(sales_dataset[[#This Row],[City]])))</f>
        <v>Mumbai</v>
      </c>
      <c r="G43" t="str">
        <f>PROPER(sales_dataset[[#This Row],[Region cleaned]])</f>
        <v>West</v>
      </c>
      <c r="H43" t="s">
        <v>93</v>
      </c>
      <c r="I43" t="str">
        <f>IF(TRIM(sales_dataset[[#This Row],[SalespersonName]])="",I46,PROPER(TRIM(sales_dataset[[#This Row],[SalespersonName]])))</f>
        <v>Megha</v>
      </c>
      <c r="J43" s="1" t="s">
        <v>201</v>
      </c>
      <c r="K43" s="1" t="str">
        <f>PROPER(sales_dataset[[#This Row],[ProductCategory cleaned]])</f>
        <v>Home</v>
      </c>
      <c r="L43" s="1" t="str">
        <f>PROPER(sales_dataset[[#This Row],[ProductName]])</f>
        <v>Tv</v>
      </c>
      <c r="M43">
        <f>ABS(sales_dataset!W:W)</f>
        <v>2</v>
      </c>
      <c r="N43">
        <f>ABS(sales_dataset[[#This Row],[Column4]])</f>
        <v>2000</v>
      </c>
      <c r="O43">
        <f t="shared" si="0"/>
        <v>4000</v>
      </c>
    </row>
    <row r="44" spans="1:15" x14ac:dyDescent="0.3">
      <c r="A44" s="1" t="s">
        <v>202</v>
      </c>
      <c r="B44" s="2">
        <v>45355</v>
      </c>
      <c r="C44" s="1" t="str">
        <f>IF(TRIM(sales_dataset[[#This Row],[SalesChannel]])="",sales_dataset!C45,PROPER(TRIM(sales_dataset[[#This Row],[SalesChannel]])))</f>
        <v>Online</v>
      </c>
      <c r="D44" s="1" t="s">
        <v>203</v>
      </c>
      <c r="E44" s="1" t="str">
        <f>IF(TRIM(sales_dataset[[#This Row],[CustomerName]])="",sales_dataset!F50, PROPER(TRIM(sales_dataset[[#This Row],[CustomerName]])))</f>
        <v>Sara</v>
      </c>
      <c r="F44" s="1" t="str">
        <f>IF(TRIM(sales_dataset[[#This Row],[City]])="", sales_dataset!$H$3, PROPER(TRIM(sales_dataset[[#This Row],[City]])))</f>
        <v>Mumbai</v>
      </c>
      <c r="G44" t="str">
        <f>PROPER(sales_dataset[[#This Row],[Region cleaned]])</f>
        <v>North</v>
      </c>
      <c r="H44" t="s">
        <v>99</v>
      </c>
      <c r="I44" t="str">
        <f>IF(TRIM(sales_dataset[[#This Row],[SalespersonName]])="",I47,PROPER(TRIM(sales_dataset[[#This Row],[SalespersonName]])))</f>
        <v>Anita</v>
      </c>
      <c r="J44" s="1" t="s">
        <v>204</v>
      </c>
      <c r="K44" s="1" t="str">
        <f>PROPER(sales_dataset[[#This Row],[ProductCategory cleaned]])</f>
        <v>Electronics</v>
      </c>
      <c r="L44" s="1" t="str">
        <f>PROPER(sales_dataset[[#This Row],[ProductName]])</f>
        <v>Tv</v>
      </c>
      <c r="M44">
        <f>ABS(sales_dataset!W:W)</f>
        <v>5</v>
      </c>
      <c r="N44">
        <f>ABS(sales_dataset[[#This Row],[Column4]])</f>
        <v>100</v>
      </c>
      <c r="O44">
        <f t="shared" si="0"/>
        <v>500</v>
      </c>
    </row>
    <row r="45" spans="1:15" x14ac:dyDescent="0.3">
      <c r="A45" s="1" t="s">
        <v>205</v>
      </c>
      <c r="B45" s="2">
        <v>45485</v>
      </c>
      <c r="C45" s="1" t="str">
        <f>IF(TRIM(sales_dataset[[#This Row],[SalesChannel]])="",sales_dataset!C46,PROPER(TRIM(sales_dataset[[#This Row],[SalesChannel]])))</f>
        <v>Offline</v>
      </c>
      <c r="D45" s="1" t="s">
        <v>65</v>
      </c>
      <c r="E45" s="1" t="str">
        <f>IF(TRIM(sales_dataset[[#This Row],[CustomerName]])="",sales_dataset!F51, PROPER(TRIM(sales_dataset[[#This Row],[CustomerName]])))</f>
        <v>Priya</v>
      </c>
      <c r="F45" s="1" t="str">
        <f>IF(TRIM(sales_dataset[[#This Row],[City]])="", sales_dataset!$H$3, PROPER(TRIM(sales_dataset[[#This Row],[City]])))</f>
        <v>Delhi</v>
      </c>
      <c r="G45" t="str">
        <f>PROPER(sales_dataset[[#This Row],[Region cleaned]])</f>
        <v>West</v>
      </c>
      <c r="H45" t="s">
        <v>148</v>
      </c>
      <c r="I45" t="str">
        <f>IF(TRIM(sales_dataset[[#This Row],[SalespersonName]])="",I48,PROPER(TRIM(sales_dataset[[#This Row],[SalespersonName]])))</f>
        <v>Raj</v>
      </c>
      <c r="J45" s="1" t="s">
        <v>206</v>
      </c>
      <c r="K45" s="1" t="str">
        <f>PROPER(sales_dataset[[#This Row],[ProductCategory cleaned]])</f>
        <v>Clothing</v>
      </c>
      <c r="L45" s="1" t="str">
        <f>PROPER(sales_dataset[[#This Row],[ProductName]])</f>
        <v>Sofa</v>
      </c>
      <c r="M45">
        <f>ABS(sales_dataset!W:W)</f>
        <v>1</v>
      </c>
      <c r="N45">
        <f>ABS(sales_dataset[[#This Row],[Column4]])</f>
        <v>2000</v>
      </c>
      <c r="O45">
        <f t="shared" si="0"/>
        <v>2000</v>
      </c>
    </row>
    <row r="46" spans="1:15" x14ac:dyDescent="0.3">
      <c r="A46" s="1" t="s">
        <v>207</v>
      </c>
      <c r="B46" s="2">
        <v>45332</v>
      </c>
      <c r="C46" s="1" t="str">
        <f>IF(TRIM(sales_dataset[[#This Row],[SalesChannel]])="",sales_dataset!C47,PROPER(TRIM(sales_dataset[[#This Row],[SalesChannel]])))</f>
        <v>Store</v>
      </c>
      <c r="D46" s="1" t="s">
        <v>208</v>
      </c>
      <c r="E46" s="1" t="str">
        <f>IF(TRIM(sales_dataset[[#This Row],[CustomerName]])="",sales_dataset!F52, PROPER(TRIM(sales_dataset[[#This Row],[CustomerName]])))</f>
        <v>Sara</v>
      </c>
      <c r="F46" s="1" t="str">
        <f>IF(TRIM(sales_dataset[[#This Row],[City]])="", sales_dataset!$H$3, PROPER(TRIM(sales_dataset[[#This Row],[City]])))</f>
        <v>Delhi</v>
      </c>
      <c r="G46" t="str">
        <f>PROPER(sales_dataset[[#This Row],[Region cleaned]])</f>
        <v>East</v>
      </c>
      <c r="H46" t="s">
        <v>209</v>
      </c>
      <c r="I46" t="str">
        <f>IF(TRIM(sales_dataset[[#This Row],[SalespersonName]])="",I49,PROPER(TRIM(sales_dataset[[#This Row],[SalespersonName]])))</f>
        <v>Megha</v>
      </c>
      <c r="J46" s="1" t="s">
        <v>187</v>
      </c>
      <c r="K46" s="1" t="str">
        <f>PROPER(sales_dataset[[#This Row],[ProductCategory cleaned]])</f>
        <v>Electronics</v>
      </c>
      <c r="L46" s="1" t="str">
        <f>PROPER(sales_dataset[[#This Row],[ProductName]])</f>
        <v>Watch</v>
      </c>
      <c r="M46">
        <f>ABS(sales_dataset!W:W)</f>
        <v>2</v>
      </c>
      <c r="N46">
        <f>ABS(sales_dataset[[#This Row],[Column4]])</f>
        <v>100</v>
      </c>
      <c r="O46">
        <f t="shared" si="0"/>
        <v>200</v>
      </c>
    </row>
    <row r="47" spans="1:15" x14ac:dyDescent="0.3">
      <c r="A47" s="1" t="s">
        <v>210</v>
      </c>
      <c r="B47" s="2">
        <v>45574</v>
      </c>
      <c r="C47" s="1" t="str">
        <f>IF(TRIM(sales_dataset[[#This Row],[SalesChannel]])="",sales_dataset!C48,PROPER(TRIM(sales_dataset[[#This Row],[SalesChannel]])))</f>
        <v>Store</v>
      </c>
      <c r="D47" s="1" t="s">
        <v>211</v>
      </c>
      <c r="E47" s="1" t="str">
        <f>IF(TRIM(sales_dataset[[#This Row],[CustomerName]])="",sales_dataset!F53, PROPER(TRIM(sales_dataset[[#This Row],[CustomerName]])))</f>
        <v>Priya</v>
      </c>
      <c r="F47" s="1" t="str">
        <f>IF(TRIM(sales_dataset[[#This Row],[City]])="", sales_dataset!$H$3, PROPER(TRIM(sales_dataset[[#This Row],[City]])))</f>
        <v>Mumbai</v>
      </c>
      <c r="G47" t="str">
        <f>PROPER(sales_dataset[[#This Row],[Region cleaned]])</f>
        <v>South</v>
      </c>
      <c r="H47" t="s">
        <v>212</v>
      </c>
      <c r="I47" t="str">
        <f>IF(TRIM(sales_dataset[[#This Row],[SalespersonName]])="",I50,PROPER(TRIM(sales_dataset[[#This Row],[SalespersonName]])))</f>
        <v>Anita</v>
      </c>
      <c r="J47" s="1" t="s">
        <v>174</v>
      </c>
      <c r="K47" s="1" t="str">
        <f>PROPER(sales_dataset[[#This Row],[ProductCategory cleaned]])</f>
        <v>Electronics</v>
      </c>
      <c r="L47" s="1" t="str">
        <f>PROPER(sales_dataset[[#This Row],[ProductName]])</f>
        <v>Watch</v>
      </c>
      <c r="M47">
        <f>ABS(sales_dataset!W:W)</f>
        <v>4</v>
      </c>
      <c r="N47">
        <f>ABS(sales_dataset[[#This Row],[Column4]])</f>
        <v>2000</v>
      </c>
      <c r="O47">
        <f t="shared" si="0"/>
        <v>8000</v>
      </c>
    </row>
    <row r="48" spans="1:15" x14ac:dyDescent="0.3">
      <c r="A48" s="1" t="s">
        <v>213</v>
      </c>
      <c r="B48" s="2">
        <v>45442</v>
      </c>
      <c r="C48" s="1" t="str">
        <f>IF(TRIM(sales_dataset[[#This Row],[SalesChannel]])="",sales_dataset!C49,PROPER(TRIM(sales_dataset[[#This Row],[SalesChannel]])))</f>
        <v>Online</v>
      </c>
      <c r="D48" s="1" t="s">
        <v>214</v>
      </c>
      <c r="E48" s="1" t="str">
        <f>IF(TRIM(sales_dataset[[#This Row],[CustomerName]])="",sales_dataset!F54, PROPER(TRIM(sales_dataset[[#This Row],[CustomerName]])))</f>
        <v>Amit</v>
      </c>
      <c r="F48" s="1" t="str">
        <f>IF(TRIM(sales_dataset[[#This Row],[City]])="", sales_dataset!$H$3, PROPER(TRIM(sales_dataset[[#This Row],[City]])))</f>
        <v>Hyderabad</v>
      </c>
      <c r="G48" t="str">
        <f>PROPER(sales_dataset[[#This Row],[Region cleaned]])</f>
        <v>West</v>
      </c>
      <c r="H48" t="s">
        <v>215</v>
      </c>
      <c r="I48" t="str">
        <f>IF(TRIM(sales_dataset[[#This Row],[SalespersonName]])="",I51,PROPER(TRIM(sales_dataset[[#This Row],[SalespersonName]])))</f>
        <v>Raj</v>
      </c>
      <c r="J48" s="1" t="s">
        <v>133</v>
      </c>
      <c r="K48" s="1" t="str">
        <f>PROPER(sales_dataset[[#This Row],[ProductCategory cleaned]])</f>
        <v>Electronics</v>
      </c>
      <c r="L48" s="1" t="str">
        <f>PROPER(sales_dataset[[#This Row],[ProductName]])</f>
        <v/>
      </c>
      <c r="M48">
        <f>ABS(sales_dataset!W:W)</f>
        <v>1</v>
      </c>
      <c r="N48">
        <f>ABS(sales_dataset[[#This Row],[Column4]])</f>
        <v>100</v>
      </c>
      <c r="O48">
        <f t="shared" si="0"/>
        <v>100</v>
      </c>
    </row>
    <row r="49" spans="1:15" x14ac:dyDescent="0.3">
      <c r="A49" s="1" t="s">
        <v>216</v>
      </c>
      <c r="B49" s="2">
        <v>45477</v>
      </c>
      <c r="C49" s="1" t="str">
        <f>IF(TRIM(sales_dataset[[#This Row],[SalesChannel]])="",sales_dataset!C50,PROPER(TRIM(sales_dataset[[#This Row],[SalesChannel]])))</f>
        <v>Online</v>
      </c>
      <c r="D49" s="1" t="s">
        <v>217</v>
      </c>
      <c r="E49" s="1" t="str">
        <f>IF(TRIM(sales_dataset[[#This Row],[CustomerName]])="",sales_dataset!F55, PROPER(TRIM(sales_dataset[[#This Row],[CustomerName]])))</f>
        <v>John</v>
      </c>
      <c r="F49" s="1" t="str">
        <f>IF(TRIM(sales_dataset[[#This Row],[City]])="", sales_dataset!$H$3, PROPER(TRIM(sales_dataset[[#This Row],[City]])))</f>
        <v>Bengaluru</v>
      </c>
      <c r="G49" t="str">
        <f>PROPER(sales_dataset[[#This Row],[Region cleaned]])</f>
        <v>South</v>
      </c>
      <c r="H49" t="s">
        <v>218</v>
      </c>
      <c r="I49" t="str">
        <f>IF(TRIM(sales_dataset[[#This Row],[SalespersonName]])="",I52,PROPER(TRIM(sales_dataset[[#This Row],[SalespersonName]])))</f>
        <v>Anita</v>
      </c>
      <c r="J49" s="1" t="s">
        <v>219</v>
      </c>
      <c r="K49" s="1" t="str">
        <f>PROPER(sales_dataset[[#This Row],[ProductCategory cleaned]])</f>
        <v>Clothing</v>
      </c>
      <c r="L49" s="1" t="str">
        <f>PROPER(sales_dataset[[#This Row],[ProductName]])</f>
        <v>Sofa</v>
      </c>
      <c r="M49">
        <f>ABS(sales_dataset!W:W)</f>
        <v>1</v>
      </c>
      <c r="N49">
        <f>ABS(sales_dataset[[#This Row],[Column4]])</f>
        <v>1500</v>
      </c>
      <c r="O49">
        <f t="shared" si="0"/>
        <v>1500</v>
      </c>
    </row>
    <row r="50" spans="1:15" x14ac:dyDescent="0.3">
      <c r="A50" s="1" t="s">
        <v>220</v>
      </c>
      <c r="B50" s="2">
        <v>45587</v>
      </c>
      <c r="C50" s="1" t="str">
        <f>IF(TRIM(sales_dataset[[#This Row],[SalesChannel]])="",sales_dataset!C51,PROPER(TRIM(sales_dataset[[#This Row],[SalesChannel]])))</f>
        <v>Online</v>
      </c>
      <c r="D50" s="1" t="s">
        <v>200</v>
      </c>
      <c r="E50" s="1" t="str">
        <f>IF(TRIM(sales_dataset[[#This Row],[CustomerName]])="",sales_dataset!F56, PROPER(TRIM(sales_dataset[[#This Row],[CustomerName]])))</f>
        <v>Priya</v>
      </c>
      <c r="F50" s="1" t="str">
        <f>IF(TRIM(sales_dataset[[#This Row],[City]])="", sales_dataset!$H$3, PROPER(TRIM(sales_dataset[[#This Row],[City]])))</f>
        <v>Chennai</v>
      </c>
      <c r="G50" t="str">
        <f>PROPER(sales_dataset[[#This Row],[Region cleaned]])</f>
        <v>West</v>
      </c>
      <c r="H50" t="s">
        <v>99</v>
      </c>
      <c r="I50" t="str">
        <f>IF(TRIM(sales_dataset[[#This Row],[SalespersonName]])="",I53,PROPER(TRIM(sales_dataset[[#This Row],[SalespersonName]])))</f>
        <v>Anita</v>
      </c>
      <c r="J50" s="1" t="s">
        <v>221</v>
      </c>
      <c r="K50" s="1" t="str">
        <f>PROPER(sales_dataset[[#This Row],[ProductCategory cleaned]])</f>
        <v>Electronics</v>
      </c>
      <c r="L50" s="1" t="str">
        <f>PROPER(sales_dataset[[#This Row],[ProductName]])</f>
        <v>Laptop</v>
      </c>
      <c r="M50">
        <f>ABS(sales_dataset!W:W)</f>
        <v>1</v>
      </c>
      <c r="N50">
        <f>ABS(sales_dataset[[#This Row],[Column4]])</f>
        <v>100</v>
      </c>
      <c r="O50">
        <f t="shared" si="0"/>
        <v>100</v>
      </c>
    </row>
    <row r="51" spans="1:15" x14ac:dyDescent="0.3">
      <c r="A51" s="1" t="s">
        <v>222</v>
      </c>
      <c r="B51" s="2">
        <v>45390</v>
      </c>
      <c r="C51" s="1" t="str">
        <f>IF(TRIM(sales_dataset[[#This Row],[SalesChannel]])="",sales_dataset!C52,PROPER(TRIM(sales_dataset[[#This Row],[SalesChannel]])))</f>
        <v>Offline</v>
      </c>
      <c r="D51" s="1" t="s">
        <v>223</v>
      </c>
      <c r="E51" s="1" t="str">
        <f>IF(TRIM(sales_dataset[[#This Row],[CustomerName]])="",sales_dataset!F57, PROPER(TRIM(sales_dataset[[#This Row],[CustomerName]])))</f>
        <v>David</v>
      </c>
      <c r="F51" s="1" t="str">
        <f>IF(TRIM(sales_dataset[[#This Row],[City]])="", sales_dataset!$H$3, PROPER(TRIM(sales_dataset[[#This Row],[City]])))</f>
        <v>Mumbai</v>
      </c>
      <c r="G51" t="str">
        <f>PROPER(sales_dataset[[#This Row],[Region cleaned]])</f>
        <v>North</v>
      </c>
      <c r="H51" t="s">
        <v>224</v>
      </c>
      <c r="I51" t="str">
        <f>IF(TRIM(sales_dataset[[#This Row],[SalespersonName]])="",I54,PROPER(TRIM(sales_dataset[[#This Row],[SalespersonName]])))</f>
        <v>Megha</v>
      </c>
      <c r="J51" s="1" t="s">
        <v>68</v>
      </c>
      <c r="K51" s="1" t="str">
        <f>PROPER(sales_dataset[[#This Row],[ProductCategory cleaned]])</f>
        <v>Electronics</v>
      </c>
      <c r="L51" s="1" t="str">
        <f>PROPER(sales_dataset[[#This Row],[ProductName]])</f>
        <v>Tv</v>
      </c>
      <c r="M51">
        <f>ABS(sales_dataset!W:W)</f>
        <v>1</v>
      </c>
      <c r="N51">
        <f>ABS(sales_dataset[[#This Row],[Column4]])</f>
        <v>100</v>
      </c>
      <c r="O51">
        <f t="shared" si="0"/>
        <v>100</v>
      </c>
    </row>
    <row r="52" spans="1:15" x14ac:dyDescent="0.3">
      <c r="A52" s="1" t="s">
        <v>225</v>
      </c>
      <c r="B52" s="2">
        <v>45327</v>
      </c>
      <c r="C52" s="1" t="str">
        <f>IF(TRIM(sales_dataset[[#This Row],[SalesChannel]])="",sales_dataset!C53,PROPER(TRIM(sales_dataset[[#This Row],[SalesChannel]])))</f>
        <v>Store</v>
      </c>
      <c r="D52" s="1" t="s">
        <v>226</v>
      </c>
      <c r="E52" s="1" t="str">
        <f>IF(TRIM(sales_dataset[[#This Row],[CustomerName]])="",sales_dataset!F58, PROPER(TRIM(sales_dataset[[#This Row],[CustomerName]])))</f>
        <v>John</v>
      </c>
      <c r="F52" s="1" t="str">
        <f>IF(TRIM(sales_dataset[[#This Row],[City]])="", sales_dataset!$H$3, PROPER(TRIM(sales_dataset[[#This Row],[City]])))</f>
        <v>Mumbai</v>
      </c>
      <c r="G52" t="str">
        <f>PROPER(sales_dataset[[#This Row],[Region cleaned]])</f>
        <v>East</v>
      </c>
      <c r="H52" t="s">
        <v>227</v>
      </c>
      <c r="I52" t="str">
        <f>IF(TRIM(sales_dataset[[#This Row],[SalespersonName]])="",I55,PROPER(TRIM(sales_dataset[[#This Row],[SalespersonName]])))</f>
        <v>Sam</v>
      </c>
      <c r="J52" s="1" t="s">
        <v>228</v>
      </c>
      <c r="K52" s="1" t="str">
        <f>PROPER(sales_dataset[[#This Row],[ProductCategory cleaned]])</f>
        <v>Home</v>
      </c>
      <c r="L52" s="1" t="str">
        <f>PROPER(sales_dataset[[#This Row],[ProductName]])</f>
        <v>Shirt</v>
      </c>
      <c r="M52">
        <f>ABS(sales_dataset!W:W)</f>
        <v>2</v>
      </c>
      <c r="N52">
        <f>ABS(sales_dataset[[#This Row],[Column4]])</f>
        <v>1500</v>
      </c>
      <c r="O52">
        <f t="shared" si="0"/>
        <v>3000</v>
      </c>
    </row>
    <row r="53" spans="1:15" x14ac:dyDescent="0.3">
      <c r="A53" s="1" t="s">
        <v>229</v>
      </c>
      <c r="B53" s="2">
        <v>45315</v>
      </c>
      <c r="C53" s="1" t="str">
        <f>IF(TRIM(sales_dataset[[#This Row],[SalesChannel]])="",sales_dataset!C54,PROPER(TRIM(sales_dataset[[#This Row],[SalesChannel]])))</f>
        <v>Store</v>
      </c>
      <c r="D53" s="1" t="s">
        <v>230</v>
      </c>
      <c r="E53" s="1" t="str">
        <f>IF(TRIM(sales_dataset[[#This Row],[CustomerName]])="",sales_dataset!F59, PROPER(TRIM(sales_dataset[[#This Row],[CustomerName]])))</f>
        <v>Priya</v>
      </c>
      <c r="F53" s="1" t="str">
        <f>IF(TRIM(sales_dataset[[#This Row],[City]])="", sales_dataset!$H$3, PROPER(TRIM(sales_dataset[[#This Row],[City]])))</f>
        <v>Mumbai</v>
      </c>
      <c r="G53" t="str">
        <f>PROPER(sales_dataset[[#This Row],[Region cleaned]])</f>
        <v>South</v>
      </c>
      <c r="H53" t="s">
        <v>29</v>
      </c>
      <c r="I53" t="str">
        <f>IF(TRIM(sales_dataset[[#This Row],[SalespersonName]])="",I56,PROPER(TRIM(sales_dataset[[#This Row],[SalespersonName]])))</f>
        <v>Megha</v>
      </c>
      <c r="J53" s="1" t="s">
        <v>149</v>
      </c>
      <c r="K53" s="1" t="str">
        <f>PROPER(sales_dataset[[#This Row],[ProductCategory cleaned]])</f>
        <v>Clothing</v>
      </c>
      <c r="L53" s="1" t="str">
        <f>PROPER(sales_dataset[[#This Row],[ProductName]])</f>
        <v>Tv</v>
      </c>
      <c r="M53">
        <f>ABS(sales_dataset!W:W)</f>
        <v>5</v>
      </c>
      <c r="N53">
        <f>ABS(sales_dataset[[#This Row],[Column4]])</f>
        <v>100</v>
      </c>
      <c r="O53">
        <f t="shared" si="0"/>
        <v>500</v>
      </c>
    </row>
    <row r="54" spans="1:15" x14ac:dyDescent="0.3">
      <c r="A54" s="1" t="s">
        <v>231</v>
      </c>
      <c r="B54" s="2">
        <v>45408</v>
      </c>
      <c r="C54" s="1" t="str">
        <f>IF(TRIM(sales_dataset[[#This Row],[SalesChannel]])="",sales_dataset!C55,PROPER(TRIM(sales_dataset[[#This Row],[SalesChannel]])))</f>
        <v>Online</v>
      </c>
      <c r="D54" s="1" t="s">
        <v>232</v>
      </c>
      <c r="E54" s="1" t="str">
        <f>IF(TRIM(sales_dataset[[#This Row],[CustomerName]])="",sales_dataset!F60, PROPER(TRIM(sales_dataset[[#This Row],[CustomerName]])))</f>
        <v>Sara</v>
      </c>
      <c r="F54" s="1" t="str">
        <f>IF(TRIM(sales_dataset[[#This Row],[City]])="", sales_dataset!$H$3, PROPER(TRIM(sales_dataset[[#This Row],[City]])))</f>
        <v>Chennai</v>
      </c>
      <c r="G54" t="str">
        <f>PROPER(sales_dataset[[#This Row],[Region cleaned]])</f>
        <v>West</v>
      </c>
      <c r="H54" t="s">
        <v>233</v>
      </c>
      <c r="I54" t="str">
        <f>IF(TRIM(sales_dataset[[#This Row],[SalespersonName]])="",I57,PROPER(TRIM(sales_dataset[[#This Row],[SalespersonName]])))</f>
        <v>Raj</v>
      </c>
      <c r="J54" s="1" t="s">
        <v>234</v>
      </c>
      <c r="K54" s="1" t="str">
        <f>PROPER(sales_dataset[[#This Row],[ProductCategory cleaned]])</f>
        <v>Electronics</v>
      </c>
      <c r="L54" s="1" t="str">
        <f>PROPER(sales_dataset[[#This Row],[ProductName]])</f>
        <v>Sofa</v>
      </c>
      <c r="M54">
        <f>ABS(sales_dataset!W:W)</f>
        <v>4</v>
      </c>
      <c r="N54">
        <f>ABS(sales_dataset[[#This Row],[Column4]])</f>
        <v>100</v>
      </c>
      <c r="O54">
        <f t="shared" si="0"/>
        <v>400</v>
      </c>
    </row>
    <row r="55" spans="1:15" x14ac:dyDescent="0.3">
      <c r="A55" s="1" t="s">
        <v>235</v>
      </c>
      <c r="B55" s="2">
        <v>45440</v>
      </c>
      <c r="C55" s="1" t="str">
        <f>IF(TRIM(sales_dataset[[#This Row],[SalesChannel]])="",sales_dataset!C56,PROPER(TRIM(sales_dataset[[#This Row],[SalesChannel]])))</f>
        <v>Online</v>
      </c>
      <c r="D55" s="1" t="s">
        <v>236</v>
      </c>
      <c r="E55" s="1" t="str">
        <f>IF(TRIM(sales_dataset[[#This Row],[CustomerName]])="",sales_dataset!F61, PROPER(TRIM(sales_dataset[[#This Row],[CustomerName]])))</f>
        <v>Priya</v>
      </c>
      <c r="F55" s="1" t="str">
        <f>IF(TRIM(sales_dataset[[#This Row],[City]])="", sales_dataset!$H$3, PROPER(TRIM(sales_dataset[[#This Row],[City]])))</f>
        <v>Delhi</v>
      </c>
      <c r="G55" t="str">
        <f>PROPER(sales_dataset[[#This Row],[Region cleaned]])</f>
        <v>South</v>
      </c>
      <c r="H55" t="s">
        <v>237</v>
      </c>
      <c r="I55" t="str">
        <f>IF(TRIM(sales_dataset[[#This Row],[SalespersonName]])="",I58,PROPER(TRIM(sales_dataset[[#This Row],[SalespersonName]])))</f>
        <v>Megha</v>
      </c>
      <c r="J55" s="1" t="s">
        <v>238</v>
      </c>
      <c r="K55" s="1" t="str">
        <f>PROPER(sales_dataset[[#This Row],[ProductCategory cleaned]])</f>
        <v>Electronics</v>
      </c>
      <c r="L55" s="1" t="str">
        <f>PROPER(sales_dataset[[#This Row],[ProductName]])</f>
        <v>Tv</v>
      </c>
      <c r="M55">
        <f>ABS(sales_dataset!W:W)</f>
        <v>1</v>
      </c>
      <c r="N55">
        <f>ABS(sales_dataset[[#This Row],[Column4]])</f>
        <v>100</v>
      </c>
      <c r="O55">
        <f t="shared" si="0"/>
        <v>100</v>
      </c>
    </row>
    <row r="56" spans="1:15" x14ac:dyDescent="0.3">
      <c r="A56" s="1" t="s">
        <v>239</v>
      </c>
      <c r="B56" s="2">
        <v>45332</v>
      </c>
      <c r="C56" s="1" t="str">
        <f>IF(TRIM(sales_dataset[[#This Row],[SalesChannel]])="",sales_dataset!C57,PROPER(TRIM(sales_dataset[[#This Row],[SalesChannel]])))</f>
        <v>Online</v>
      </c>
      <c r="D56" s="1" t="s">
        <v>240</v>
      </c>
      <c r="E56" s="1" t="str">
        <f>IF(TRIM(sales_dataset[[#This Row],[CustomerName]])="",sales_dataset!F62, PROPER(TRIM(sales_dataset[[#This Row],[CustomerName]])))</f>
        <v>Sara</v>
      </c>
      <c r="F56" s="1" t="str">
        <f>IF(TRIM(sales_dataset[[#This Row],[City]])="", sales_dataset!$H$3, PROPER(TRIM(sales_dataset[[#This Row],[City]])))</f>
        <v>Chennai</v>
      </c>
      <c r="G56" t="str">
        <f>PROPER(sales_dataset[[#This Row],[Region cleaned]])</f>
        <v>North</v>
      </c>
      <c r="H56" t="s">
        <v>241</v>
      </c>
      <c r="I56" t="str">
        <f>IF(TRIM(sales_dataset[[#This Row],[SalespersonName]])="",I59,PROPER(TRIM(sales_dataset[[#This Row],[SalespersonName]])))</f>
        <v>Sam</v>
      </c>
      <c r="J56" s="1" t="s">
        <v>242</v>
      </c>
      <c r="K56" s="1" t="str">
        <f>PROPER(sales_dataset[[#This Row],[ProductCategory cleaned]])</f>
        <v>Electronics</v>
      </c>
      <c r="L56" s="1" t="str">
        <f>PROPER(sales_dataset[[#This Row],[ProductName]])</f>
        <v>Shirt</v>
      </c>
      <c r="M56">
        <f>ABS(sales_dataset!W:W)</f>
        <v>4</v>
      </c>
      <c r="N56">
        <f>ABS(sales_dataset[[#This Row],[Column4]])</f>
        <v>100</v>
      </c>
      <c r="O56">
        <f t="shared" si="0"/>
        <v>400</v>
      </c>
    </row>
    <row r="57" spans="1:15" x14ac:dyDescent="0.3">
      <c r="A57" s="1" t="s">
        <v>243</v>
      </c>
      <c r="B57" s="2">
        <v>45411</v>
      </c>
      <c r="C57" s="1" t="str">
        <f>IF(TRIM(sales_dataset[[#This Row],[SalesChannel]])="",sales_dataset!C58,PROPER(TRIM(sales_dataset[[#This Row],[SalesChannel]])))</f>
        <v>Offline</v>
      </c>
      <c r="D57" s="1" t="s">
        <v>244</v>
      </c>
      <c r="E57" s="1" t="str">
        <f>IF(TRIM(sales_dataset[[#This Row],[CustomerName]])="",sales_dataset!F63, PROPER(TRIM(sales_dataset[[#This Row],[CustomerName]])))</f>
        <v>Amit</v>
      </c>
      <c r="F57" s="1" t="str">
        <f>IF(TRIM(sales_dataset[[#This Row],[City]])="", sales_dataset!$H$3, PROPER(TRIM(sales_dataset[[#This Row],[City]])))</f>
        <v>Chennai</v>
      </c>
      <c r="G57" t="str">
        <f>PROPER(sales_dataset[[#This Row],[Region cleaned]])</f>
        <v>South</v>
      </c>
      <c r="H57" t="s">
        <v>129</v>
      </c>
      <c r="I57" t="str">
        <f>IF(TRIM(sales_dataset[[#This Row],[SalespersonName]])="",I60,PROPER(TRIM(sales_dataset[[#This Row],[SalespersonName]])))</f>
        <v>Kevin</v>
      </c>
      <c r="J57" s="1" t="s">
        <v>245</v>
      </c>
      <c r="K57" s="1" t="str">
        <f>PROPER(sales_dataset[[#This Row],[ProductCategory cleaned]])</f>
        <v>Clothing</v>
      </c>
      <c r="L57" s="1" t="str">
        <f>PROPER(sales_dataset[[#This Row],[ProductName]])</f>
        <v/>
      </c>
      <c r="M57">
        <f>ABS(sales_dataset!W:W)</f>
        <v>4</v>
      </c>
      <c r="N57">
        <f>ABS(sales_dataset[[#This Row],[Column4]])</f>
        <v>2000</v>
      </c>
      <c r="O57">
        <f t="shared" si="0"/>
        <v>8000</v>
      </c>
    </row>
    <row r="58" spans="1:15" x14ac:dyDescent="0.3">
      <c r="A58" s="1" t="s">
        <v>246</v>
      </c>
      <c r="B58" s="2">
        <v>45343</v>
      </c>
      <c r="C58" s="1" t="str">
        <f>IF(TRIM(sales_dataset[[#This Row],[SalesChannel]])="",sales_dataset!C59,PROPER(TRIM(sales_dataset[[#This Row],[SalesChannel]])))</f>
        <v>Store</v>
      </c>
      <c r="D58" s="1" t="s">
        <v>143</v>
      </c>
      <c r="E58" s="1" t="str">
        <f>IF(TRIM(sales_dataset[[#This Row],[CustomerName]])="",sales_dataset!F64, PROPER(TRIM(sales_dataset[[#This Row],[CustomerName]])))</f>
        <v>Amit</v>
      </c>
      <c r="F58" s="1" t="str">
        <f>IF(TRIM(sales_dataset[[#This Row],[City]])="", sales_dataset!$H$3, PROPER(TRIM(sales_dataset[[#This Row],[City]])))</f>
        <v>Mumbai</v>
      </c>
      <c r="G58" t="str">
        <f>PROPER(sales_dataset[[#This Row],[Region cleaned]])</f>
        <v>East</v>
      </c>
      <c r="H58" t="s">
        <v>247</v>
      </c>
      <c r="I58" t="str">
        <f>IF(TRIM(sales_dataset[[#This Row],[SalespersonName]])="",I61,PROPER(TRIM(sales_dataset[[#This Row],[SalespersonName]])))</f>
        <v>Megha</v>
      </c>
      <c r="J58" s="1" t="s">
        <v>248</v>
      </c>
      <c r="K58" s="1" t="str">
        <f>PROPER(sales_dataset[[#This Row],[ProductCategory cleaned]])</f>
        <v>Home</v>
      </c>
      <c r="L58" s="1" t="str">
        <f>PROPER(sales_dataset[[#This Row],[ProductName]])</f>
        <v>Shirt</v>
      </c>
      <c r="M58">
        <f>ABS(sales_dataset!W:W)</f>
        <v>4</v>
      </c>
      <c r="N58">
        <f>ABS(sales_dataset[[#This Row],[Column4]])</f>
        <v>100</v>
      </c>
      <c r="O58">
        <f t="shared" si="0"/>
        <v>400</v>
      </c>
    </row>
    <row r="59" spans="1:15" x14ac:dyDescent="0.3">
      <c r="A59" s="1" t="s">
        <v>249</v>
      </c>
      <c r="B59" s="2">
        <v>45486</v>
      </c>
      <c r="C59" s="1" t="str">
        <f>IF(TRIM(sales_dataset[[#This Row],[SalesChannel]])="",sales_dataset!C60,PROPER(TRIM(sales_dataset[[#This Row],[SalesChannel]])))</f>
        <v>Store</v>
      </c>
      <c r="D59" s="1" t="s">
        <v>250</v>
      </c>
      <c r="E59" s="1" t="str">
        <f>IF(TRIM(sales_dataset[[#This Row],[CustomerName]])="",sales_dataset!F65, PROPER(TRIM(sales_dataset[[#This Row],[CustomerName]])))</f>
        <v>Priya</v>
      </c>
      <c r="F59" s="1" t="str">
        <f>IF(TRIM(sales_dataset[[#This Row],[City]])="", sales_dataset!$H$3, PROPER(TRIM(sales_dataset[[#This Row],[City]])))</f>
        <v>Mumbai</v>
      </c>
      <c r="G59" t="str">
        <f>PROPER(sales_dataset[[#This Row],[Region cleaned]])</f>
        <v>West</v>
      </c>
      <c r="H59" t="s">
        <v>140</v>
      </c>
      <c r="I59" t="str">
        <f>IF(TRIM(sales_dataset[[#This Row],[SalespersonName]])="",I62,PROPER(TRIM(sales_dataset[[#This Row],[SalespersonName]])))</f>
        <v>Sam</v>
      </c>
      <c r="J59" s="1" t="s">
        <v>251</v>
      </c>
      <c r="K59" s="1" t="str">
        <f>PROPER(sales_dataset[[#This Row],[ProductCategory cleaned]])</f>
        <v>Electronics</v>
      </c>
      <c r="L59" s="1" t="str">
        <f>PROPER(sales_dataset[[#This Row],[ProductName]])</f>
        <v>Shirt</v>
      </c>
      <c r="M59">
        <f>ABS(sales_dataset!W:W)</f>
        <v>4</v>
      </c>
      <c r="N59">
        <f>ABS(sales_dataset[[#This Row],[Column4]])</f>
        <v>500</v>
      </c>
      <c r="O59">
        <f t="shared" si="0"/>
        <v>2000</v>
      </c>
    </row>
    <row r="60" spans="1:15" x14ac:dyDescent="0.3">
      <c r="A60" s="1" t="s">
        <v>252</v>
      </c>
      <c r="B60" s="2">
        <v>45434</v>
      </c>
      <c r="C60" s="1" t="str">
        <f>IF(TRIM(sales_dataset[[#This Row],[SalesChannel]])="",sales_dataset!C61,PROPER(TRIM(sales_dataset[[#This Row],[SalesChannel]])))</f>
        <v>Online</v>
      </c>
      <c r="D60" s="1" t="s">
        <v>253</v>
      </c>
      <c r="E60" s="1" t="str">
        <f>IF(TRIM(sales_dataset[[#This Row],[CustomerName]])="",sales_dataset!F66, PROPER(TRIM(sales_dataset[[#This Row],[CustomerName]])))</f>
        <v>David</v>
      </c>
      <c r="F60" s="1" t="str">
        <f>IF(TRIM(sales_dataset[[#This Row],[City]])="", sales_dataset!$H$3, PROPER(TRIM(sales_dataset[[#This Row],[City]])))</f>
        <v>Chennai</v>
      </c>
      <c r="G60" t="str">
        <f>PROPER(sales_dataset[[#This Row],[Region cleaned]])</f>
        <v>South</v>
      </c>
      <c r="H60" t="s">
        <v>177</v>
      </c>
      <c r="I60" t="str">
        <f>IF(TRIM(sales_dataset[[#This Row],[SalespersonName]])="",I63,PROPER(TRIM(sales_dataset[[#This Row],[SalespersonName]])))</f>
        <v>Sam</v>
      </c>
      <c r="J60" s="1" t="s">
        <v>22</v>
      </c>
      <c r="K60" s="1" t="str">
        <f>PROPER(sales_dataset[[#This Row],[ProductCategory cleaned]])</f>
        <v>Electronics</v>
      </c>
      <c r="L60" s="1" t="str">
        <f>PROPER(sales_dataset[[#This Row],[ProductName]])</f>
        <v>Watch</v>
      </c>
      <c r="M60">
        <f>ABS(sales_dataset!W:W)</f>
        <v>4</v>
      </c>
      <c r="N60">
        <f>ABS(sales_dataset[[#This Row],[Column4]])</f>
        <v>2000</v>
      </c>
      <c r="O60">
        <f t="shared" si="0"/>
        <v>8000</v>
      </c>
    </row>
    <row r="61" spans="1:15" x14ac:dyDescent="0.3">
      <c r="A61" s="1" t="s">
        <v>254</v>
      </c>
      <c r="B61" s="2">
        <v>45524</v>
      </c>
      <c r="C61" s="1" t="str">
        <f>IF(TRIM(sales_dataset[[#This Row],[SalesChannel]])="",sales_dataset!C62,PROPER(TRIM(sales_dataset[[#This Row],[SalesChannel]])))</f>
        <v>Online</v>
      </c>
      <c r="D61" s="1" t="s">
        <v>255</v>
      </c>
      <c r="E61" s="1" t="str">
        <f>IF(TRIM(sales_dataset[[#This Row],[CustomerName]])="",sales_dataset!F67, PROPER(TRIM(sales_dataset[[#This Row],[CustomerName]])))</f>
        <v>Amit</v>
      </c>
      <c r="F61" s="1" t="str">
        <f>IF(TRIM(sales_dataset[[#This Row],[City]])="", sales_dataset!$H$3, PROPER(TRIM(sales_dataset[[#This Row],[City]])))</f>
        <v>Mumbai</v>
      </c>
      <c r="G61" t="str">
        <f>PROPER(sales_dataset[[#This Row],[Region cleaned]])</f>
        <v>East</v>
      </c>
      <c r="H61" t="s">
        <v>247</v>
      </c>
      <c r="I61" t="str">
        <f>IF(TRIM(sales_dataset[[#This Row],[SalespersonName]])="",I64,PROPER(TRIM(sales_dataset[[#This Row],[SalespersonName]])))</f>
        <v>Kevin</v>
      </c>
      <c r="J61" s="1" t="s">
        <v>245</v>
      </c>
      <c r="K61" s="1" t="str">
        <f>PROPER(sales_dataset[[#This Row],[ProductCategory cleaned]])</f>
        <v>Electronics</v>
      </c>
      <c r="L61" s="1" t="str">
        <f>PROPER(sales_dataset[[#This Row],[ProductName]])</f>
        <v>Sofa</v>
      </c>
      <c r="M61">
        <f>ABS(sales_dataset!W:W)</f>
        <v>1</v>
      </c>
      <c r="N61">
        <f>ABS(sales_dataset[[#This Row],[Column4]])</f>
        <v>0</v>
      </c>
      <c r="O61">
        <f t="shared" si="0"/>
        <v>0</v>
      </c>
    </row>
    <row r="62" spans="1:15" x14ac:dyDescent="0.3">
      <c r="A62" s="1" t="s">
        <v>256</v>
      </c>
      <c r="B62" s="2">
        <v>45478</v>
      </c>
      <c r="C62" s="1" t="str">
        <f>IF(TRIM(sales_dataset[[#This Row],[SalesChannel]])="",sales_dataset!C63,PROPER(TRIM(sales_dataset[[#This Row],[SalesChannel]])))</f>
        <v>Online</v>
      </c>
      <c r="D62" s="1" t="s">
        <v>257</v>
      </c>
      <c r="E62" s="1" t="str">
        <f>IF(TRIM(sales_dataset[[#This Row],[CustomerName]])="",sales_dataset!F68, PROPER(TRIM(sales_dataset[[#This Row],[CustomerName]])))</f>
        <v>John</v>
      </c>
      <c r="F62" s="1" t="str">
        <f>IF(TRIM(sales_dataset[[#This Row],[City]])="", sales_dataset!$H$3, PROPER(TRIM(sales_dataset[[#This Row],[City]])))</f>
        <v>Chennai</v>
      </c>
      <c r="G62" t="str">
        <f>PROPER(sales_dataset[[#This Row],[Region cleaned]])</f>
        <v>West</v>
      </c>
      <c r="H62" t="s">
        <v>258</v>
      </c>
      <c r="I62" t="str">
        <f>IF(TRIM(sales_dataset[[#This Row],[SalespersonName]])="",I65,PROPER(TRIM(sales_dataset[[#This Row],[SalespersonName]])))</f>
        <v>Sam</v>
      </c>
      <c r="J62" s="1" t="s">
        <v>123</v>
      </c>
      <c r="K62" s="1" t="str">
        <f>PROPER(sales_dataset[[#This Row],[ProductCategory cleaned]])</f>
        <v>Electronics</v>
      </c>
      <c r="L62" s="1" t="str">
        <f>PROPER(sales_dataset[[#This Row],[ProductName]])</f>
        <v>Laptop</v>
      </c>
      <c r="M62">
        <f>ABS(sales_dataset!W:W)</f>
        <v>1</v>
      </c>
      <c r="N62">
        <f>ABS(sales_dataset[[#This Row],[Column4]])</f>
        <v>2500</v>
      </c>
      <c r="O62">
        <f t="shared" si="0"/>
        <v>2500</v>
      </c>
    </row>
    <row r="63" spans="1:15" x14ac:dyDescent="0.3">
      <c r="A63" s="1" t="s">
        <v>259</v>
      </c>
      <c r="B63" s="2">
        <v>45375</v>
      </c>
      <c r="C63" s="1" t="str">
        <f>IF(TRIM(sales_dataset[[#This Row],[SalesChannel]])="",sales_dataset!C64,PROPER(TRIM(sales_dataset[[#This Row],[SalesChannel]])))</f>
        <v>Offline</v>
      </c>
      <c r="D63" s="1" t="s">
        <v>260</v>
      </c>
      <c r="E63" s="1" t="str">
        <f>IF(TRIM(sales_dataset[[#This Row],[CustomerName]])="",sales_dataset!F69, PROPER(TRIM(sales_dataset[[#This Row],[CustomerName]])))</f>
        <v>Priya</v>
      </c>
      <c r="F63" s="1" t="str">
        <f>IF(TRIM(sales_dataset[[#This Row],[City]])="", sales_dataset!$H$3, PROPER(TRIM(sales_dataset[[#This Row],[City]])))</f>
        <v>Mumbai</v>
      </c>
      <c r="G63" t="str">
        <f>PROPER(sales_dataset[[#This Row],[Region cleaned]])</f>
        <v>North</v>
      </c>
      <c r="H63" t="s">
        <v>177</v>
      </c>
      <c r="I63" t="str">
        <f>IF(TRIM(sales_dataset[[#This Row],[SalespersonName]])="",I66,PROPER(TRIM(sales_dataset[[#This Row],[SalespersonName]])))</f>
        <v>Sam</v>
      </c>
      <c r="J63" s="1" t="s">
        <v>245</v>
      </c>
      <c r="K63" s="1" t="str">
        <f>PROPER(sales_dataset[[#This Row],[ProductCategory cleaned]])</f>
        <v>Electronics</v>
      </c>
      <c r="L63" s="1" t="str">
        <f>PROPER(sales_dataset[[#This Row],[ProductName]])</f>
        <v>Tv</v>
      </c>
      <c r="M63">
        <f>ABS(sales_dataset!W:W)</f>
        <v>5</v>
      </c>
      <c r="N63">
        <f>ABS(sales_dataset[[#This Row],[Column4]])</f>
        <v>100</v>
      </c>
      <c r="O63">
        <f t="shared" si="0"/>
        <v>500</v>
      </c>
    </row>
    <row r="64" spans="1:15" x14ac:dyDescent="0.3">
      <c r="A64" s="1" t="s">
        <v>261</v>
      </c>
      <c r="B64" s="2">
        <v>45481</v>
      </c>
      <c r="C64" s="1" t="str">
        <f>IF(TRIM(sales_dataset[[#This Row],[SalesChannel]])="",sales_dataset!C65,PROPER(TRIM(sales_dataset[[#This Row],[SalesChannel]])))</f>
        <v>Store</v>
      </c>
      <c r="D64" s="1" t="s">
        <v>262</v>
      </c>
      <c r="E64" s="1" t="str">
        <f>IF(TRIM(sales_dataset[[#This Row],[CustomerName]])="",sales_dataset!F70, PROPER(TRIM(sales_dataset[[#This Row],[CustomerName]])))</f>
        <v>John</v>
      </c>
      <c r="F64" s="1" t="str">
        <f>IF(TRIM(sales_dataset[[#This Row],[City]])="", sales_dataset!$H$3, PROPER(TRIM(sales_dataset[[#This Row],[City]])))</f>
        <v>Mumbai</v>
      </c>
      <c r="G64" t="str">
        <f>PROPER(sales_dataset[[#This Row],[Region cleaned]])</f>
        <v>West</v>
      </c>
      <c r="H64" t="s">
        <v>93</v>
      </c>
      <c r="I64" t="str">
        <f>IF(TRIM(sales_dataset[[#This Row],[SalespersonName]])="",I67,PROPER(TRIM(sales_dataset[[#This Row],[SalespersonName]])))</f>
        <v>Kevin</v>
      </c>
      <c r="J64" s="1" t="s">
        <v>184</v>
      </c>
      <c r="K64" s="1" t="str">
        <f>PROPER(sales_dataset[[#This Row],[ProductCategory cleaned]])</f>
        <v>Clothing</v>
      </c>
      <c r="L64" s="1" t="str">
        <f>PROPER(sales_dataset[[#This Row],[ProductName]])</f>
        <v>Tv</v>
      </c>
      <c r="M64">
        <f>ABS(sales_dataset!W:W)</f>
        <v>2</v>
      </c>
      <c r="N64">
        <f>ABS(sales_dataset[[#This Row],[Column4]])</f>
        <v>100</v>
      </c>
      <c r="O64">
        <f t="shared" si="0"/>
        <v>200</v>
      </c>
    </row>
    <row r="65" spans="1:15" x14ac:dyDescent="0.3">
      <c r="A65" s="1" t="s">
        <v>263</v>
      </c>
      <c r="B65" s="2">
        <v>45473</v>
      </c>
      <c r="C65" s="1" t="str">
        <f>IF(TRIM(sales_dataset[[#This Row],[SalesChannel]])="",sales_dataset!C66,PROPER(TRIM(sales_dataset[[#This Row],[SalesChannel]])))</f>
        <v>Store</v>
      </c>
      <c r="D65" s="1" t="s">
        <v>264</v>
      </c>
      <c r="E65" s="1" t="str">
        <f>IF(TRIM(sales_dataset[[#This Row],[CustomerName]])="",sales_dataset!F71, PROPER(TRIM(sales_dataset[[#This Row],[CustomerName]])))</f>
        <v>Priya</v>
      </c>
      <c r="F65" s="1" t="str">
        <f>IF(TRIM(sales_dataset[[#This Row],[City]])="", sales_dataset!$H$3, PROPER(TRIM(sales_dataset[[#This Row],[City]])))</f>
        <v>Bengaluru</v>
      </c>
      <c r="G65" t="str">
        <f>PROPER(sales_dataset[[#This Row],[Region cleaned]])</f>
        <v>West</v>
      </c>
      <c r="H65" t="s">
        <v>125</v>
      </c>
      <c r="I65" t="str">
        <f>IF(TRIM(sales_dataset[[#This Row],[SalespersonName]])="",I68,PROPER(TRIM(sales_dataset[[#This Row],[SalespersonName]])))</f>
        <v>Kevin</v>
      </c>
      <c r="J65" s="1" t="s">
        <v>265</v>
      </c>
      <c r="K65" s="1" t="str">
        <f>PROPER(sales_dataset[[#This Row],[ProductCategory cleaned]])</f>
        <v>Electronics</v>
      </c>
      <c r="L65" s="1" t="str">
        <f>PROPER(sales_dataset[[#This Row],[ProductName]])</f>
        <v>Laptop</v>
      </c>
      <c r="M65">
        <f>ABS(sales_dataset!W:W)</f>
        <v>5</v>
      </c>
      <c r="N65">
        <f>ABS(sales_dataset[[#This Row],[Column4]])</f>
        <v>100</v>
      </c>
      <c r="O65">
        <f t="shared" si="0"/>
        <v>500</v>
      </c>
    </row>
    <row r="66" spans="1:15" x14ac:dyDescent="0.3">
      <c r="A66" s="1" t="s">
        <v>266</v>
      </c>
      <c r="B66" s="2">
        <v>45399</v>
      </c>
      <c r="C66" s="1" t="str">
        <f>IF(TRIM(sales_dataset[[#This Row],[SalesChannel]])="",sales_dataset!C67,PROPER(TRIM(sales_dataset[[#This Row],[SalesChannel]])))</f>
        <v>Online</v>
      </c>
      <c r="D66" s="1" t="s">
        <v>267</v>
      </c>
      <c r="E66" s="1" t="str">
        <f>IF(TRIM(sales_dataset[[#This Row],[CustomerName]])="",sales_dataset!F72, PROPER(TRIM(sales_dataset[[#This Row],[CustomerName]])))</f>
        <v>David</v>
      </c>
      <c r="F66" s="1" t="str">
        <f>IF(TRIM(sales_dataset[[#This Row],[City]])="", sales_dataset!$H$3, PROPER(TRIM(sales_dataset[[#This Row],[City]])))</f>
        <v>Hyderabad</v>
      </c>
      <c r="G66" t="str">
        <f>PROPER(sales_dataset[[#This Row],[Region cleaned]])</f>
        <v>East</v>
      </c>
      <c r="H66" t="s">
        <v>20</v>
      </c>
      <c r="I66" t="str">
        <f>IF(TRIM(sales_dataset[[#This Row],[SalespersonName]])="",I69,PROPER(TRIM(sales_dataset[[#This Row],[SalespersonName]])))</f>
        <v>Megha</v>
      </c>
      <c r="J66" s="1" t="s">
        <v>268</v>
      </c>
      <c r="K66" s="1" t="str">
        <f>PROPER(sales_dataset[[#This Row],[ProductCategory cleaned]])</f>
        <v>Clothing</v>
      </c>
      <c r="L66" s="1" t="str">
        <f>PROPER(sales_dataset[[#This Row],[ProductName]])</f>
        <v>Laptop</v>
      </c>
      <c r="M66">
        <f>ABS(sales_dataset!W:W)</f>
        <v>3</v>
      </c>
      <c r="N66">
        <f>ABS(sales_dataset[[#This Row],[Column4]])</f>
        <v>100</v>
      </c>
      <c r="O66">
        <f t="shared" si="0"/>
        <v>300</v>
      </c>
    </row>
    <row r="67" spans="1:15" x14ac:dyDescent="0.3">
      <c r="A67" s="1" t="s">
        <v>269</v>
      </c>
      <c r="B67" s="2">
        <v>45428</v>
      </c>
      <c r="C67" s="1" t="str">
        <f>IF(TRIM(sales_dataset[[#This Row],[SalesChannel]])="",sales_dataset!C68,PROPER(TRIM(sales_dataset[[#This Row],[SalesChannel]])))</f>
        <v>Online</v>
      </c>
      <c r="D67" s="1" t="s">
        <v>270</v>
      </c>
      <c r="E67" s="1" t="str">
        <f>IF(TRIM(sales_dataset[[#This Row],[CustomerName]])="",sales_dataset!F73, PROPER(TRIM(sales_dataset[[#This Row],[CustomerName]])))</f>
        <v>Amit</v>
      </c>
      <c r="F67" s="1" t="str">
        <f>IF(TRIM(sales_dataset[[#This Row],[City]])="", sales_dataset!$H$3, PROPER(TRIM(sales_dataset[[#This Row],[City]])))</f>
        <v>Delhi</v>
      </c>
      <c r="G67" t="str">
        <f>PROPER(sales_dataset[[#This Row],[Region cleaned]])</f>
        <v>West</v>
      </c>
      <c r="H67" t="s">
        <v>136</v>
      </c>
      <c r="I67" t="str">
        <f>IF(TRIM(sales_dataset[[#This Row],[SalespersonName]])="",I70,PROPER(TRIM(sales_dataset[[#This Row],[SalespersonName]])))</f>
        <v>Kevin</v>
      </c>
      <c r="J67" s="1" t="s">
        <v>271</v>
      </c>
      <c r="K67" s="1" t="str">
        <f>PROPER(sales_dataset[[#This Row],[ProductCategory cleaned]])</f>
        <v>Clothing</v>
      </c>
      <c r="L67" s="1" t="str">
        <f>PROPER(sales_dataset[[#This Row],[ProductName]])</f>
        <v>Shirt</v>
      </c>
      <c r="M67">
        <f>ABS(sales_dataset!W:W)</f>
        <v>1</v>
      </c>
      <c r="N67">
        <f>ABS(sales_dataset[[#This Row],[Column4]])</f>
        <v>2500</v>
      </c>
      <c r="O67">
        <f t="shared" ref="O67:O130" si="1">M67*N67</f>
        <v>2500</v>
      </c>
    </row>
    <row r="68" spans="1:15" x14ac:dyDescent="0.3">
      <c r="A68" s="1" t="s">
        <v>272</v>
      </c>
      <c r="B68" s="2">
        <v>45328</v>
      </c>
      <c r="C68" s="1" t="str">
        <f>IF(TRIM(sales_dataset[[#This Row],[SalesChannel]])="",sales_dataset!C69,PROPER(TRIM(sales_dataset[[#This Row],[SalesChannel]])))</f>
        <v>Online</v>
      </c>
      <c r="D68" s="1" t="s">
        <v>273</v>
      </c>
      <c r="E68" s="1" t="str">
        <f>IF(TRIM(sales_dataset[[#This Row],[CustomerName]])="",sales_dataset!F74, PROPER(TRIM(sales_dataset[[#This Row],[CustomerName]])))</f>
        <v>David</v>
      </c>
      <c r="F68" s="1" t="str">
        <f>IF(TRIM(sales_dataset[[#This Row],[City]])="", sales_dataset!$H$3, PROPER(TRIM(sales_dataset[[#This Row],[City]])))</f>
        <v>Mumbai</v>
      </c>
      <c r="G68" t="str">
        <f>PROPER(sales_dataset[[#This Row],[Region cleaned]])</f>
        <v>North</v>
      </c>
      <c r="H68" t="s">
        <v>247</v>
      </c>
      <c r="I68" t="str">
        <f>IF(TRIM(sales_dataset[[#This Row],[SalespersonName]])="",I71,PROPER(TRIM(sales_dataset[[#This Row],[SalespersonName]])))</f>
        <v>Megha</v>
      </c>
      <c r="J68" s="1" t="s">
        <v>221</v>
      </c>
      <c r="K68" s="1" t="str">
        <f>PROPER(sales_dataset[[#This Row],[ProductCategory cleaned]])</f>
        <v>Home</v>
      </c>
      <c r="L68" s="1" t="str">
        <f>PROPER(sales_dataset[[#This Row],[ProductName]])</f>
        <v>Shirt</v>
      </c>
      <c r="M68">
        <f>ABS(sales_dataset!W:W)</f>
        <v>3</v>
      </c>
      <c r="N68">
        <f>ABS(sales_dataset[[#This Row],[Column4]])</f>
        <v>100</v>
      </c>
      <c r="O68">
        <f t="shared" si="1"/>
        <v>300</v>
      </c>
    </row>
    <row r="69" spans="1:15" x14ac:dyDescent="0.3">
      <c r="A69" s="1" t="s">
        <v>274</v>
      </c>
      <c r="B69" s="2">
        <v>45379</v>
      </c>
      <c r="C69" s="1" t="str">
        <f>IF(TRIM(sales_dataset[[#This Row],[SalesChannel]])="",sales_dataset!C70,PROPER(TRIM(sales_dataset[[#This Row],[SalesChannel]])))</f>
        <v>Offline</v>
      </c>
      <c r="D69" s="1" t="s">
        <v>275</v>
      </c>
      <c r="E69" s="1" t="str">
        <f>IF(TRIM(sales_dataset[[#This Row],[CustomerName]])="",sales_dataset!F75, PROPER(TRIM(sales_dataset[[#This Row],[CustomerName]])))</f>
        <v>Sara</v>
      </c>
      <c r="F69" s="1" t="str">
        <f>IF(TRIM(sales_dataset[[#This Row],[City]])="", sales_dataset!$H$3, PROPER(TRIM(sales_dataset[[#This Row],[City]])))</f>
        <v>Delhi</v>
      </c>
      <c r="G69" t="str">
        <f>PROPER(sales_dataset[[#This Row],[Region cleaned]])</f>
        <v>North</v>
      </c>
      <c r="H69" t="s">
        <v>20</v>
      </c>
      <c r="I69" t="str">
        <f>IF(TRIM(sales_dataset[[#This Row],[SalespersonName]])="",I72,PROPER(TRIM(sales_dataset[[#This Row],[SalespersonName]])))</f>
        <v>Anita</v>
      </c>
      <c r="J69" s="1" t="s">
        <v>276</v>
      </c>
      <c r="K69" s="1" t="str">
        <f>PROPER(sales_dataset[[#This Row],[ProductCategory cleaned]])</f>
        <v>Electronics</v>
      </c>
      <c r="L69" s="1" t="str">
        <f>PROPER(sales_dataset[[#This Row],[ProductName]])</f>
        <v>Tv</v>
      </c>
      <c r="M69">
        <f>ABS(sales_dataset!W:W)</f>
        <v>1</v>
      </c>
      <c r="N69">
        <f>ABS(sales_dataset[[#This Row],[Column4]])</f>
        <v>100</v>
      </c>
      <c r="O69">
        <f t="shared" si="1"/>
        <v>100</v>
      </c>
    </row>
    <row r="70" spans="1:15" x14ac:dyDescent="0.3">
      <c r="A70" s="1" t="s">
        <v>277</v>
      </c>
      <c r="B70" s="2">
        <v>45565</v>
      </c>
      <c r="C70" s="1" t="str">
        <f>IF(TRIM(sales_dataset[[#This Row],[SalesChannel]])="",sales_dataset!C71,PROPER(TRIM(sales_dataset[[#This Row],[SalesChannel]])))</f>
        <v>Store</v>
      </c>
      <c r="D70" s="1" t="s">
        <v>278</v>
      </c>
      <c r="E70" s="1" t="str">
        <f>IF(TRIM(sales_dataset[[#This Row],[CustomerName]])="",sales_dataset!F76, PROPER(TRIM(sales_dataset[[#This Row],[CustomerName]])))</f>
        <v>Amit</v>
      </c>
      <c r="F70" s="1" t="str">
        <f>IF(TRIM(sales_dataset[[#This Row],[City]])="", sales_dataset!$H$3, PROPER(TRIM(sales_dataset[[#This Row],[City]])))</f>
        <v>Bengaluru</v>
      </c>
      <c r="G70" t="str">
        <f>PROPER(sales_dataset[[#This Row],[Region cleaned]])</f>
        <v>West</v>
      </c>
      <c r="H70" t="s">
        <v>99</v>
      </c>
      <c r="I70" t="str">
        <f>IF(TRIM(sales_dataset[[#This Row],[SalespersonName]])="",I73,PROPER(TRIM(sales_dataset[[#This Row],[SalespersonName]])))</f>
        <v>Sam</v>
      </c>
      <c r="J70" s="1" t="s">
        <v>279</v>
      </c>
      <c r="K70" s="1" t="str">
        <f>PROPER(sales_dataset[[#This Row],[ProductCategory cleaned]])</f>
        <v>Home</v>
      </c>
      <c r="L70" s="1" t="str">
        <f>PROPER(sales_dataset[[#This Row],[ProductName]])</f>
        <v>Sofa</v>
      </c>
      <c r="M70">
        <f>ABS(sales_dataset!W:W)</f>
        <v>1</v>
      </c>
      <c r="N70">
        <f>ABS(sales_dataset[[#This Row],[Column4]])</f>
        <v>2500</v>
      </c>
      <c r="O70">
        <f t="shared" si="1"/>
        <v>2500</v>
      </c>
    </row>
    <row r="71" spans="1:15" x14ac:dyDescent="0.3">
      <c r="A71" s="1" t="s">
        <v>280</v>
      </c>
      <c r="B71" s="2">
        <v>45417</v>
      </c>
      <c r="C71" s="1" t="str">
        <f>IF(TRIM(sales_dataset[[#This Row],[SalesChannel]])="",sales_dataset!C72,PROPER(TRIM(sales_dataset[[#This Row],[SalesChannel]])))</f>
        <v>Store</v>
      </c>
      <c r="D71" s="1" t="s">
        <v>281</v>
      </c>
      <c r="E71" s="1" t="str">
        <f>IF(TRIM(sales_dataset[[#This Row],[CustomerName]])="",sales_dataset!F77, PROPER(TRIM(sales_dataset[[#This Row],[CustomerName]])))</f>
        <v>John</v>
      </c>
      <c r="F71" s="1" t="str">
        <f>IF(TRIM(sales_dataset[[#This Row],[City]])="", sales_dataset!$H$3, PROPER(TRIM(sales_dataset[[#This Row],[City]])))</f>
        <v>Hyderabad</v>
      </c>
      <c r="G71" t="str">
        <f>PROPER(sales_dataset[[#This Row],[Region cleaned]])</f>
        <v>South</v>
      </c>
      <c r="H71" t="s">
        <v>282</v>
      </c>
      <c r="I71" t="str">
        <f>IF(TRIM(sales_dataset[[#This Row],[SalespersonName]])="",I74,PROPER(TRIM(sales_dataset[[#This Row],[SalespersonName]])))</f>
        <v>Megha</v>
      </c>
      <c r="J71" s="1" t="s">
        <v>283</v>
      </c>
      <c r="K71" s="1" t="str">
        <f>PROPER(sales_dataset[[#This Row],[ProductCategory cleaned]])</f>
        <v>Electronics</v>
      </c>
      <c r="L71" s="1" t="str">
        <f>PROPER(sales_dataset[[#This Row],[ProductName]])</f>
        <v/>
      </c>
      <c r="M71">
        <f>ABS(sales_dataset!W:W)</f>
        <v>5</v>
      </c>
      <c r="N71">
        <f>ABS(sales_dataset[[#This Row],[Column4]])</f>
        <v>2000</v>
      </c>
      <c r="O71">
        <f t="shared" si="1"/>
        <v>10000</v>
      </c>
    </row>
    <row r="72" spans="1:15" x14ac:dyDescent="0.3">
      <c r="A72" s="1" t="s">
        <v>284</v>
      </c>
      <c r="B72" s="2">
        <v>45375</v>
      </c>
      <c r="C72" s="1" t="str">
        <f>IF(TRIM(sales_dataset[[#This Row],[SalesChannel]])="",sales_dataset!C73,PROPER(TRIM(sales_dataset[[#This Row],[SalesChannel]])))</f>
        <v>Online</v>
      </c>
      <c r="D72" s="1" t="s">
        <v>285</v>
      </c>
      <c r="E72" s="1" t="str">
        <f>IF(TRIM(sales_dataset[[#This Row],[CustomerName]])="",sales_dataset!F78, PROPER(TRIM(sales_dataset[[#This Row],[CustomerName]])))</f>
        <v>John</v>
      </c>
      <c r="F72" s="1" t="str">
        <f>IF(TRIM(sales_dataset[[#This Row],[City]])="", sales_dataset!$H$3, PROPER(TRIM(sales_dataset[[#This Row],[City]])))</f>
        <v>Mumbai</v>
      </c>
      <c r="G72" t="str">
        <f>PROPER(sales_dataset[[#This Row],[Region cleaned]])</f>
        <v>South</v>
      </c>
      <c r="H72" t="s">
        <v>103</v>
      </c>
      <c r="I72" t="str">
        <f>IF(TRIM(sales_dataset[[#This Row],[SalespersonName]])="",I75,PROPER(TRIM(sales_dataset[[#This Row],[SalespersonName]])))</f>
        <v>Anita</v>
      </c>
      <c r="J72" s="1" t="s">
        <v>286</v>
      </c>
      <c r="K72" s="1" t="str">
        <f>PROPER(sales_dataset[[#This Row],[ProductCategory cleaned]])</f>
        <v>Electronics</v>
      </c>
      <c r="L72" s="1" t="str">
        <f>PROPER(sales_dataset[[#This Row],[ProductName]])</f>
        <v>Tv</v>
      </c>
      <c r="M72">
        <f>ABS(sales_dataset!W:W)</f>
        <v>2</v>
      </c>
      <c r="N72">
        <f>ABS(sales_dataset[[#This Row],[Column4]])</f>
        <v>2500</v>
      </c>
      <c r="O72">
        <f t="shared" si="1"/>
        <v>5000</v>
      </c>
    </row>
    <row r="73" spans="1:15" x14ac:dyDescent="0.3">
      <c r="A73" s="1" t="s">
        <v>287</v>
      </c>
      <c r="B73" s="2">
        <v>45528</v>
      </c>
      <c r="C73" s="1" t="str">
        <f>IF(TRIM(sales_dataset[[#This Row],[SalesChannel]])="",sales_dataset!C74,PROPER(TRIM(sales_dataset[[#This Row],[SalesChannel]])))</f>
        <v>Online</v>
      </c>
      <c r="D73" s="1" t="s">
        <v>250</v>
      </c>
      <c r="E73" s="1" t="str">
        <f>IF(TRIM(sales_dataset[[#This Row],[CustomerName]])="",sales_dataset!F79, PROPER(TRIM(sales_dataset[[#This Row],[CustomerName]])))</f>
        <v>Amit</v>
      </c>
      <c r="F73" s="1" t="str">
        <f>IF(TRIM(sales_dataset[[#This Row],[City]])="", sales_dataset!$H$3, PROPER(TRIM(sales_dataset[[#This Row],[City]])))</f>
        <v>Hyderabad</v>
      </c>
      <c r="G73" t="str">
        <f>PROPER(sales_dataset[[#This Row],[Region cleaned]])</f>
        <v>North</v>
      </c>
      <c r="H73" t="s">
        <v>152</v>
      </c>
      <c r="I73" t="str">
        <f>IF(TRIM(sales_dataset[[#This Row],[SalespersonName]])="",I76,PROPER(TRIM(sales_dataset[[#This Row],[SalespersonName]])))</f>
        <v>Kevin</v>
      </c>
      <c r="J73" s="1" t="s">
        <v>288</v>
      </c>
      <c r="K73" s="1" t="str">
        <f>PROPER(sales_dataset[[#This Row],[ProductCategory cleaned]])</f>
        <v>Clothing</v>
      </c>
      <c r="L73" s="1" t="str">
        <f>PROPER(sales_dataset[[#This Row],[ProductName]])</f>
        <v>Shirt</v>
      </c>
      <c r="M73">
        <f>ABS(sales_dataset!W:W)</f>
        <v>1</v>
      </c>
      <c r="N73">
        <f>ABS(sales_dataset[[#This Row],[Column4]])</f>
        <v>500</v>
      </c>
      <c r="O73">
        <f t="shared" si="1"/>
        <v>500</v>
      </c>
    </row>
    <row r="74" spans="1:15" x14ac:dyDescent="0.3">
      <c r="A74" s="1" t="s">
        <v>289</v>
      </c>
      <c r="B74" s="2">
        <v>45486</v>
      </c>
      <c r="C74" s="1" t="str">
        <f>IF(TRIM(sales_dataset[[#This Row],[SalesChannel]])="",sales_dataset!C75,PROPER(TRIM(sales_dataset[[#This Row],[SalesChannel]])))</f>
        <v>Online</v>
      </c>
      <c r="D74" s="1" t="s">
        <v>290</v>
      </c>
      <c r="E74" s="1" t="str">
        <f>IF(TRIM(sales_dataset[[#This Row],[CustomerName]])="",sales_dataset!F80, PROPER(TRIM(sales_dataset[[#This Row],[CustomerName]])))</f>
        <v>Sara</v>
      </c>
      <c r="F74" s="1" t="str">
        <f>IF(TRIM(sales_dataset[[#This Row],[City]])="", sales_dataset!$H$3, PROPER(TRIM(sales_dataset[[#This Row],[City]])))</f>
        <v>Hyderabad</v>
      </c>
      <c r="G74" t="str">
        <f>PROPER(sales_dataset[[#This Row],[Region cleaned]])</f>
        <v>South</v>
      </c>
      <c r="H74" t="s">
        <v>74</v>
      </c>
      <c r="I74" t="str">
        <f>IF(TRIM(sales_dataset[[#This Row],[SalespersonName]])="",I77,PROPER(TRIM(sales_dataset[[#This Row],[SalespersonName]])))</f>
        <v>Kevin</v>
      </c>
      <c r="J74" s="1" t="s">
        <v>291</v>
      </c>
      <c r="K74" s="1" t="str">
        <f>PROPER(sales_dataset[[#This Row],[ProductCategory cleaned]])</f>
        <v>Clothing</v>
      </c>
      <c r="L74" s="1" t="str">
        <f>PROPER(sales_dataset[[#This Row],[ProductName]])</f>
        <v/>
      </c>
      <c r="M74">
        <f>ABS(sales_dataset!W:W)</f>
        <v>0</v>
      </c>
      <c r="N74">
        <f>ABS(sales_dataset[[#This Row],[Column4]])</f>
        <v>500</v>
      </c>
      <c r="O74">
        <f t="shared" si="1"/>
        <v>0</v>
      </c>
    </row>
    <row r="75" spans="1:15" x14ac:dyDescent="0.3">
      <c r="A75" s="1" t="s">
        <v>292</v>
      </c>
      <c r="B75" s="2">
        <v>45430</v>
      </c>
      <c r="C75" s="1" t="str">
        <f>IF(TRIM(sales_dataset[[#This Row],[SalesChannel]])="",sales_dataset!C76,PROPER(TRIM(sales_dataset[[#This Row],[SalesChannel]])))</f>
        <v>Offline</v>
      </c>
      <c r="D75" s="1" t="s">
        <v>278</v>
      </c>
      <c r="E75" s="1" t="str">
        <f>IF(TRIM(sales_dataset[[#This Row],[CustomerName]])="",sales_dataset!F81, PROPER(TRIM(sales_dataset[[#This Row],[CustomerName]])))</f>
        <v>Amit</v>
      </c>
      <c r="F75" s="1" t="str">
        <f>IF(TRIM(sales_dataset[[#This Row],[City]])="", sales_dataset!$H$3, PROPER(TRIM(sales_dataset[[#This Row],[City]])))</f>
        <v>Mumbai</v>
      </c>
      <c r="G75" t="str">
        <f>PROPER(sales_dataset[[#This Row],[Region cleaned]])</f>
        <v>East</v>
      </c>
      <c r="H75" t="s">
        <v>140</v>
      </c>
      <c r="I75" t="str">
        <f>IF(TRIM(sales_dataset[[#This Row],[SalespersonName]])="",I78,PROPER(TRIM(sales_dataset[[#This Row],[SalespersonName]])))</f>
        <v>Raj</v>
      </c>
      <c r="J75" s="1" t="s">
        <v>293</v>
      </c>
      <c r="K75" s="1" t="str">
        <f>PROPER(sales_dataset[[#This Row],[ProductCategory cleaned]])</f>
        <v>Clothing</v>
      </c>
      <c r="L75" s="1" t="str">
        <f>PROPER(sales_dataset[[#This Row],[ProductName]])</f>
        <v>Sofa</v>
      </c>
      <c r="M75">
        <f>ABS(sales_dataset!W:W)</f>
        <v>1</v>
      </c>
      <c r="N75">
        <f>ABS(sales_dataset[[#This Row],[Column4]])</f>
        <v>500</v>
      </c>
      <c r="O75">
        <f t="shared" si="1"/>
        <v>500</v>
      </c>
    </row>
    <row r="76" spans="1:15" x14ac:dyDescent="0.3">
      <c r="A76" s="1" t="s">
        <v>294</v>
      </c>
      <c r="B76" s="2">
        <v>45577</v>
      </c>
      <c r="C76" s="1" t="str">
        <f>IF(TRIM(sales_dataset[[#This Row],[SalesChannel]])="",sales_dataset!C77,PROPER(TRIM(sales_dataset[[#This Row],[SalesChannel]])))</f>
        <v>Store</v>
      </c>
      <c r="D76" s="1" t="s">
        <v>295</v>
      </c>
      <c r="E76" s="1" t="str">
        <f>IF(TRIM(sales_dataset[[#This Row],[CustomerName]])="",sales_dataset!F82, PROPER(TRIM(sales_dataset[[#This Row],[CustomerName]])))</f>
        <v>Priya</v>
      </c>
      <c r="F76" s="1" t="str">
        <f>IF(TRIM(sales_dataset[[#This Row],[City]])="", sales_dataset!$H$3, PROPER(TRIM(sales_dataset[[#This Row],[City]])))</f>
        <v>Bengaluru</v>
      </c>
      <c r="G76" t="str">
        <f>PROPER(sales_dataset[[#This Row],[Region cleaned]])</f>
        <v>North</v>
      </c>
      <c r="H76" t="s">
        <v>20</v>
      </c>
      <c r="I76" t="str">
        <f>IF(TRIM(sales_dataset[[#This Row],[SalespersonName]])="",I79,PROPER(TRIM(sales_dataset[[#This Row],[SalespersonName]])))</f>
        <v>Sam</v>
      </c>
      <c r="J76" s="1" t="s">
        <v>296</v>
      </c>
      <c r="K76" s="1" t="str">
        <f>PROPER(sales_dataset[[#This Row],[ProductCategory cleaned]])</f>
        <v>Home</v>
      </c>
      <c r="L76" s="1" t="str">
        <f>PROPER(sales_dataset[[#This Row],[ProductName]])</f>
        <v>Sofa</v>
      </c>
      <c r="M76">
        <f>ABS(sales_dataset!W:W)</f>
        <v>3</v>
      </c>
      <c r="N76">
        <f>ABS(sales_dataset[[#This Row],[Column4]])</f>
        <v>500</v>
      </c>
      <c r="O76">
        <f t="shared" si="1"/>
        <v>1500</v>
      </c>
    </row>
    <row r="77" spans="1:15" x14ac:dyDescent="0.3">
      <c r="A77" s="1" t="s">
        <v>297</v>
      </c>
      <c r="B77" s="2">
        <v>45404</v>
      </c>
      <c r="C77" s="1" t="str">
        <f>IF(TRIM(sales_dataset[[#This Row],[SalesChannel]])="",sales_dataset!C78,PROPER(TRIM(sales_dataset[[#This Row],[SalesChannel]])))</f>
        <v>Store</v>
      </c>
      <c r="D77" s="1" t="s">
        <v>298</v>
      </c>
      <c r="E77" s="1" t="str">
        <f>IF(TRIM(sales_dataset[[#This Row],[CustomerName]])="",sales_dataset!F83, PROPER(TRIM(sales_dataset[[#This Row],[CustomerName]])))</f>
        <v>priya</v>
      </c>
      <c r="F77" s="1" t="str">
        <f>IF(TRIM(sales_dataset[[#This Row],[City]])="", sales_dataset!$H$3, PROPER(TRIM(sales_dataset[[#This Row],[City]])))</f>
        <v>Chennai</v>
      </c>
      <c r="G77" t="str">
        <f>PROPER(sales_dataset[[#This Row],[Region cleaned]])</f>
        <v>East</v>
      </c>
      <c r="H77" t="s">
        <v>67</v>
      </c>
      <c r="I77" t="str">
        <f>IF(TRIM(sales_dataset[[#This Row],[SalespersonName]])="",I80,PROPER(TRIM(sales_dataset[[#This Row],[SalespersonName]])))</f>
        <v>Sam</v>
      </c>
      <c r="J77" s="1" t="s">
        <v>181</v>
      </c>
      <c r="K77" s="1" t="str">
        <f>PROPER(sales_dataset[[#This Row],[ProductCategory cleaned]])</f>
        <v>Electronics</v>
      </c>
      <c r="L77" s="1" t="str">
        <f>PROPER(sales_dataset[[#This Row],[ProductName]])</f>
        <v>Sofa</v>
      </c>
      <c r="M77">
        <f>ABS(sales_dataset!W:W)</f>
        <v>2</v>
      </c>
      <c r="N77">
        <f>ABS(sales_dataset[[#This Row],[Column4]])</f>
        <v>2500</v>
      </c>
      <c r="O77">
        <f t="shared" si="1"/>
        <v>5000</v>
      </c>
    </row>
    <row r="78" spans="1:15" x14ac:dyDescent="0.3">
      <c r="A78" s="1" t="s">
        <v>299</v>
      </c>
      <c r="B78" s="2">
        <v>45458</v>
      </c>
      <c r="C78" s="1" t="str">
        <f>IF(TRIM(sales_dataset[[#This Row],[SalesChannel]])="",sales_dataset!C79,PROPER(TRIM(sales_dataset[[#This Row],[SalesChannel]])))</f>
        <v>Online</v>
      </c>
      <c r="D78" s="1" t="s">
        <v>300</v>
      </c>
      <c r="E78" s="1" t="str">
        <f>IF(TRIM(sales_dataset[[#This Row],[CustomerName]])="",sales_dataset!F84, PROPER(TRIM(sales_dataset[[#This Row],[CustomerName]])))</f>
        <v>John</v>
      </c>
      <c r="F78" s="1" t="str">
        <f>IF(TRIM(sales_dataset[[#This Row],[City]])="", sales_dataset!$H$3, PROPER(TRIM(sales_dataset[[#This Row],[City]])))</f>
        <v>Hyderabad</v>
      </c>
      <c r="G78" t="str">
        <f>PROPER(sales_dataset[[#This Row],[Region cleaned]])</f>
        <v>West</v>
      </c>
      <c r="H78" t="s">
        <v>107</v>
      </c>
      <c r="I78" t="str">
        <f>IF(TRIM(sales_dataset[[#This Row],[SalespersonName]])="",I81,PROPER(TRIM(sales_dataset[[#This Row],[SalespersonName]])))</f>
        <v>Anita</v>
      </c>
      <c r="J78" s="1" t="s">
        <v>112</v>
      </c>
      <c r="K78" s="1" t="str">
        <f>PROPER(sales_dataset[[#This Row],[ProductCategory cleaned]])</f>
        <v>Clothing</v>
      </c>
      <c r="L78" s="1" t="str">
        <f>PROPER(sales_dataset[[#This Row],[ProductName]])</f>
        <v>Shirt</v>
      </c>
      <c r="M78">
        <f>ABS(sales_dataset!W:W)</f>
        <v>2</v>
      </c>
      <c r="N78">
        <f>ABS(sales_dataset[[#This Row],[Column4]])</f>
        <v>1500</v>
      </c>
      <c r="O78">
        <f t="shared" si="1"/>
        <v>3000</v>
      </c>
    </row>
    <row r="79" spans="1:15" x14ac:dyDescent="0.3">
      <c r="A79" s="1" t="s">
        <v>301</v>
      </c>
      <c r="B79" s="2">
        <v>45320</v>
      </c>
      <c r="C79" s="1" t="str">
        <f>IF(TRIM(sales_dataset[[#This Row],[SalesChannel]])="",sales_dataset!C80,PROPER(TRIM(sales_dataset[[#This Row],[SalesChannel]])))</f>
        <v>Online</v>
      </c>
      <c r="D79" s="1" t="s">
        <v>302</v>
      </c>
      <c r="E79" s="1" t="str">
        <f>IF(TRIM(sales_dataset[[#This Row],[CustomerName]])="",sales_dataset!F85, PROPER(TRIM(sales_dataset[[#This Row],[CustomerName]])))</f>
        <v>Sara</v>
      </c>
      <c r="F79" s="1" t="str">
        <f>IF(TRIM(sales_dataset[[#This Row],[City]])="", sales_dataset!$H$3, PROPER(TRIM(sales_dataset[[#This Row],[City]])))</f>
        <v>Hyderabad</v>
      </c>
      <c r="G79" t="str">
        <f>PROPER(sales_dataset[[#This Row],[Region cleaned]])</f>
        <v>East</v>
      </c>
      <c r="H79" t="s">
        <v>215</v>
      </c>
      <c r="I79" t="str">
        <f>IF(TRIM(sales_dataset[[#This Row],[SalespersonName]])="",I82,PROPER(TRIM(sales_dataset[[#This Row],[SalespersonName]])))</f>
        <v>Megha</v>
      </c>
      <c r="J79" s="1" t="s">
        <v>303</v>
      </c>
      <c r="K79" s="1" t="str">
        <f>PROPER(sales_dataset[[#This Row],[ProductCategory cleaned]])</f>
        <v>Electronics</v>
      </c>
      <c r="L79" s="1" t="str">
        <f>PROPER(sales_dataset[[#This Row],[ProductName]])</f>
        <v>Shirt</v>
      </c>
      <c r="M79">
        <f>ABS(sales_dataset!W:W)</f>
        <v>2</v>
      </c>
      <c r="N79">
        <f>ABS(sales_dataset[[#This Row],[Column4]])</f>
        <v>500</v>
      </c>
      <c r="O79">
        <f t="shared" si="1"/>
        <v>1000</v>
      </c>
    </row>
    <row r="80" spans="1:15" x14ac:dyDescent="0.3">
      <c r="A80" s="1" t="s">
        <v>304</v>
      </c>
      <c r="B80" s="2">
        <v>45409</v>
      </c>
      <c r="C80" s="1" t="str">
        <f>IF(TRIM(sales_dataset[[#This Row],[SalesChannel]])="",sales_dataset!C81,PROPER(TRIM(sales_dataset[[#This Row],[SalesChannel]])))</f>
        <v>Online</v>
      </c>
      <c r="D80" s="1" t="s">
        <v>52</v>
      </c>
      <c r="E80" s="1" t="str">
        <f>IF(TRIM(sales_dataset[[#This Row],[CustomerName]])="",sales_dataset!F86, PROPER(TRIM(sales_dataset[[#This Row],[CustomerName]])))</f>
        <v>Priya</v>
      </c>
      <c r="F80" s="1" t="str">
        <f>IF(TRIM(sales_dataset[[#This Row],[City]])="", sales_dataset!$H$3, PROPER(TRIM(sales_dataset[[#This Row],[City]])))</f>
        <v>Bengaluru</v>
      </c>
      <c r="G80" t="str">
        <f>PROPER(sales_dataset[[#This Row],[Region cleaned]])</f>
        <v>North</v>
      </c>
      <c r="H80" t="s">
        <v>107</v>
      </c>
      <c r="I80" t="str">
        <f>IF(TRIM(sales_dataset[[#This Row],[SalespersonName]])="",I83,PROPER(TRIM(sales_dataset[[#This Row],[SalespersonName]])))</f>
        <v>Sam</v>
      </c>
      <c r="J80" s="1" t="s">
        <v>286</v>
      </c>
      <c r="K80" s="1" t="str">
        <f>PROPER(sales_dataset[[#This Row],[ProductCategory cleaned]])</f>
        <v>Home</v>
      </c>
      <c r="L80" s="1" t="str">
        <f>PROPER(sales_dataset[[#This Row],[ProductName]])</f>
        <v>Tv</v>
      </c>
      <c r="M80">
        <f>ABS(sales_dataset!W:W)</f>
        <v>5</v>
      </c>
      <c r="N80">
        <f>ABS(sales_dataset[[#This Row],[Column4]])</f>
        <v>100</v>
      </c>
      <c r="O80">
        <f t="shared" si="1"/>
        <v>500</v>
      </c>
    </row>
    <row r="81" spans="1:15" x14ac:dyDescent="0.3">
      <c r="A81" s="1" t="s">
        <v>305</v>
      </c>
      <c r="B81" s="2">
        <v>45308</v>
      </c>
      <c r="C81" s="1" t="str">
        <f>IF(TRIM(sales_dataset[[#This Row],[SalesChannel]])="",sales_dataset!C82,PROPER(TRIM(sales_dataset[[#This Row],[SalesChannel]])))</f>
        <v>Offline</v>
      </c>
      <c r="D81" s="1" t="s">
        <v>306</v>
      </c>
      <c r="E81" s="1" t="str">
        <f>IF(TRIM(sales_dataset[[#This Row],[CustomerName]])="",sales_dataset!F87, PROPER(TRIM(sales_dataset[[#This Row],[CustomerName]])))</f>
        <v>Priya</v>
      </c>
      <c r="F81" s="1" t="str">
        <f>IF(TRIM(sales_dataset[[#This Row],[City]])="", sales_dataset!$H$3, PROPER(TRIM(sales_dataset[[#This Row],[City]])))</f>
        <v>Chennai</v>
      </c>
      <c r="G81" t="str">
        <f>PROPER(sales_dataset[[#This Row],[Region cleaned]])</f>
        <v>North</v>
      </c>
      <c r="H81" t="s">
        <v>61</v>
      </c>
      <c r="I81" t="str">
        <f>IF(TRIM(sales_dataset[[#This Row],[SalespersonName]])="",I84,PROPER(TRIM(sales_dataset[[#This Row],[SalespersonName]])))</f>
        <v>Anita</v>
      </c>
      <c r="J81" s="1" t="s">
        <v>170</v>
      </c>
      <c r="K81" s="1" t="str">
        <f>PROPER(sales_dataset[[#This Row],[ProductCategory cleaned]])</f>
        <v>Electronics</v>
      </c>
      <c r="L81" s="1" t="str">
        <f>PROPER(sales_dataset[[#This Row],[ProductName]])</f>
        <v>Shirt</v>
      </c>
      <c r="M81">
        <f>ABS(sales_dataset!W:W)</f>
        <v>3</v>
      </c>
      <c r="N81">
        <f>ABS(sales_dataset[[#This Row],[Column4]])</f>
        <v>500</v>
      </c>
      <c r="O81">
        <f t="shared" si="1"/>
        <v>1500</v>
      </c>
    </row>
    <row r="82" spans="1:15" x14ac:dyDescent="0.3">
      <c r="A82" s="1" t="s">
        <v>307</v>
      </c>
      <c r="B82" s="2">
        <v>45453</v>
      </c>
      <c r="C82" s="1" t="str">
        <f>IF(TRIM(sales_dataset[[#This Row],[SalesChannel]])="",sales_dataset!C83,PROPER(TRIM(sales_dataset[[#This Row],[SalesChannel]])))</f>
        <v>Store</v>
      </c>
      <c r="D82" s="1" t="s">
        <v>89</v>
      </c>
      <c r="E82" s="1" t="str">
        <f>IF(TRIM(sales_dataset[[#This Row],[CustomerName]])="",sales_dataset!F88, PROPER(TRIM(sales_dataset[[#This Row],[CustomerName]])))</f>
        <v>David</v>
      </c>
      <c r="F82" s="1" t="str">
        <f>IF(TRIM(sales_dataset[[#This Row],[City]])="", sales_dataset!$H$3, PROPER(TRIM(sales_dataset[[#This Row],[City]])))</f>
        <v>Hyderabad</v>
      </c>
      <c r="G82" t="str">
        <f>PROPER(sales_dataset[[#This Row],[Region cleaned]])</f>
        <v>North</v>
      </c>
      <c r="H82" t="s">
        <v>237</v>
      </c>
      <c r="I82" t="str">
        <f>IF(TRIM(sales_dataset[[#This Row],[SalespersonName]])="",I85,PROPER(TRIM(sales_dataset[[#This Row],[SalespersonName]])))</f>
        <v>Anita</v>
      </c>
      <c r="J82" s="1" t="s">
        <v>308</v>
      </c>
      <c r="K82" s="1" t="str">
        <f>PROPER(sales_dataset[[#This Row],[ProductCategory cleaned]])</f>
        <v>Clothing</v>
      </c>
      <c r="L82" s="1" t="str">
        <f>PROPER(sales_dataset[[#This Row],[ProductName]])</f>
        <v>Watch</v>
      </c>
      <c r="M82">
        <f>ABS(sales_dataset!W:W)</f>
        <v>3</v>
      </c>
      <c r="N82">
        <f>ABS(sales_dataset[[#This Row],[Column4]])</f>
        <v>1500</v>
      </c>
      <c r="O82">
        <f t="shared" si="1"/>
        <v>4500</v>
      </c>
    </row>
    <row r="83" spans="1:15" x14ac:dyDescent="0.3">
      <c r="A83" s="1" t="s">
        <v>309</v>
      </c>
      <c r="B83" s="2">
        <v>45497</v>
      </c>
      <c r="C83" s="1" t="str">
        <f>IF(TRIM(sales_dataset[[#This Row],[SalesChannel]])="",sales_dataset!C84,PROPER(TRIM(sales_dataset[[#This Row],[SalesChannel]])))</f>
        <v>Store</v>
      </c>
      <c r="D83" s="1" t="s">
        <v>310</v>
      </c>
      <c r="E83" s="1" t="str">
        <f>IF(TRIM(sales_dataset[[#This Row],[CustomerName]])="",sales_dataset!F89, PROPER(TRIM(sales_dataset[[#This Row],[CustomerName]])))</f>
        <v>Priya</v>
      </c>
      <c r="F83" s="1" t="str">
        <f>IF(TRIM(sales_dataset[[#This Row],[City]])="", sales_dataset!$H$3, PROPER(TRIM(sales_dataset[[#This Row],[City]])))</f>
        <v>Hyderabad</v>
      </c>
      <c r="G83" t="str">
        <f>PROPER(sales_dataset[[#This Row],[Region cleaned]])</f>
        <v>North</v>
      </c>
      <c r="H83" t="s">
        <v>29</v>
      </c>
      <c r="I83" t="str">
        <f>IF(TRIM(sales_dataset[[#This Row],[SalespersonName]])="",I86,PROPER(TRIM(sales_dataset[[#This Row],[SalespersonName]])))</f>
        <v>Sam</v>
      </c>
      <c r="J83" s="1" t="s">
        <v>311</v>
      </c>
      <c r="K83" s="1" t="str">
        <f>PROPER(sales_dataset[[#This Row],[ProductCategory cleaned]])</f>
        <v>Electronics</v>
      </c>
      <c r="L83" s="1" t="str">
        <f>PROPER(sales_dataset[[#This Row],[ProductName]])</f>
        <v>Sofa</v>
      </c>
      <c r="M83">
        <f>ABS(sales_dataset!W:W)</f>
        <v>2</v>
      </c>
      <c r="N83">
        <f>ABS(sales_dataset[[#This Row],[Column4]])</f>
        <v>2000</v>
      </c>
      <c r="O83">
        <f t="shared" si="1"/>
        <v>4000</v>
      </c>
    </row>
    <row r="84" spans="1:15" x14ac:dyDescent="0.3">
      <c r="A84" s="1" t="s">
        <v>312</v>
      </c>
      <c r="B84" s="2">
        <v>45429</v>
      </c>
      <c r="C84" s="1" t="str">
        <f>IF(TRIM(sales_dataset[[#This Row],[SalesChannel]])="",sales_dataset!C85,PROPER(TRIM(sales_dataset[[#This Row],[SalesChannel]])))</f>
        <v>Online</v>
      </c>
      <c r="D84" s="1" t="s">
        <v>313</v>
      </c>
      <c r="E84" s="1" t="str">
        <f>IF(TRIM(sales_dataset[[#This Row],[CustomerName]])="",sales_dataset!F90, PROPER(TRIM(sales_dataset[[#This Row],[CustomerName]])))</f>
        <v>Priya</v>
      </c>
      <c r="F84" s="1" t="str">
        <f>IF(TRIM(sales_dataset[[#This Row],[City]])="", sales_dataset!$H$3, PROPER(TRIM(sales_dataset[[#This Row],[City]])))</f>
        <v>Chennai</v>
      </c>
      <c r="G84" t="str">
        <f>PROPER(sales_dataset[[#This Row],[Region cleaned]])</f>
        <v>North</v>
      </c>
      <c r="H84" t="s">
        <v>177</v>
      </c>
      <c r="I84" t="str">
        <f>IF(TRIM(sales_dataset[[#This Row],[SalespersonName]])="",I87,PROPER(TRIM(sales_dataset[[#This Row],[SalespersonName]])))</f>
        <v>Anita</v>
      </c>
      <c r="J84" s="1" t="s">
        <v>90</v>
      </c>
      <c r="K84" s="1" t="str">
        <f>PROPER(sales_dataset[[#This Row],[ProductCategory cleaned]])</f>
        <v>Clothing</v>
      </c>
      <c r="L84" s="1" t="str">
        <f>PROPER(sales_dataset[[#This Row],[ProductName]])</f>
        <v>Laptop</v>
      </c>
      <c r="M84">
        <f>ABS(sales_dataset!W:W)</f>
        <v>1</v>
      </c>
      <c r="N84">
        <f>ABS(sales_dataset[[#This Row],[Column4]])</f>
        <v>1500</v>
      </c>
      <c r="O84">
        <f t="shared" si="1"/>
        <v>1500</v>
      </c>
    </row>
    <row r="85" spans="1:15" x14ac:dyDescent="0.3">
      <c r="A85" s="1" t="s">
        <v>314</v>
      </c>
      <c r="B85" s="2">
        <v>45325</v>
      </c>
      <c r="C85" s="1" t="str">
        <f>IF(TRIM(sales_dataset[[#This Row],[SalesChannel]])="",sales_dataset!C86,PROPER(TRIM(sales_dataset[[#This Row],[SalesChannel]])))</f>
        <v>Online</v>
      </c>
      <c r="D85" s="1" t="s">
        <v>315</v>
      </c>
      <c r="E85" s="1" t="str">
        <f>IF(TRIM(sales_dataset[[#This Row],[CustomerName]])="",sales_dataset!F91, PROPER(TRIM(sales_dataset[[#This Row],[CustomerName]])))</f>
        <v>Sara</v>
      </c>
      <c r="F85" s="1" t="str">
        <f>IF(TRIM(sales_dataset[[#This Row],[City]])="", sales_dataset!$H$3, PROPER(TRIM(sales_dataset[[#This Row],[City]])))</f>
        <v>Mumbai</v>
      </c>
      <c r="G85" t="str">
        <f>PROPER(sales_dataset[[#This Row],[Region cleaned]])</f>
        <v>East</v>
      </c>
      <c r="H85" t="s">
        <v>247</v>
      </c>
      <c r="I85" t="str">
        <f>IF(TRIM(sales_dataset[[#This Row],[SalespersonName]])="",I88,PROPER(TRIM(sales_dataset[[#This Row],[SalespersonName]])))</f>
        <v>Raj</v>
      </c>
      <c r="J85" s="1" t="s">
        <v>68</v>
      </c>
      <c r="K85" s="1" t="str">
        <f>PROPER(sales_dataset[[#This Row],[ProductCategory cleaned]])</f>
        <v>Electronics</v>
      </c>
      <c r="L85" s="1" t="str">
        <f>PROPER(sales_dataset[[#This Row],[ProductName]])</f>
        <v>Shirt</v>
      </c>
      <c r="M85">
        <f>ABS(sales_dataset!W:W)</f>
        <v>4</v>
      </c>
      <c r="N85">
        <f>ABS(sales_dataset[[#This Row],[Column4]])</f>
        <v>2000</v>
      </c>
      <c r="O85">
        <f t="shared" si="1"/>
        <v>8000</v>
      </c>
    </row>
    <row r="86" spans="1:15" x14ac:dyDescent="0.3">
      <c r="A86" s="1" t="s">
        <v>316</v>
      </c>
      <c r="B86" s="2">
        <v>45400</v>
      </c>
      <c r="C86" s="1" t="str">
        <f>IF(TRIM(sales_dataset[[#This Row],[SalesChannel]])="",sales_dataset!C87,PROPER(TRIM(sales_dataset[[#This Row],[SalesChannel]])))</f>
        <v>Online</v>
      </c>
      <c r="D86" s="1" t="s">
        <v>317</v>
      </c>
      <c r="E86" s="1" t="str">
        <f>IF(TRIM(sales_dataset[[#This Row],[CustomerName]])="",sales_dataset!F92, PROPER(TRIM(sales_dataset[[#This Row],[CustomerName]])))</f>
        <v>John</v>
      </c>
      <c r="F86" s="1" t="str">
        <f>IF(TRIM(sales_dataset[[#This Row],[City]])="", sales_dataset!$H$3, PROPER(TRIM(sales_dataset[[#This Row],[City]])))</f>
        <v>Delhi</v>
      </c>
      <c r="G86" t="str">
        <f>PROPER(sales_dataset[[#This Row],[Region cleaned]])</f>
        <v>North</v>
      </c>
      <c r="H86" t="s">
        <v>318</v>
      </c>
      <c r="I86" t="str">
        <f>IF(TRIM(sales_dataset[[#This Row],[SalespersonName]])="",I89,PROPER(TRIM(sales_dataset[[#This Row],[SalespersonName]])))</f>
        <v>Kevin</v>
      </c>
      <c r="J86" s="1" t="s">
        <v>123</v>
      </c>
      <c r="K86" s="1" t="str">
        <f>PROPER(sales_dataset[[#This Row],[ProductCategory cleaned]])</f>
        <v>Electronics</v>
      </c>
      <c r="L86" s="1" t="str">
        <f>PROPER(sales_dataset[[#This Row],[ProductName]])</f>
        <v>Sofa</v>
      </c>
      <c r="M86">
        <f>ABS(sales_dataset!W:W)</f>
        <v>5</v>
      </c>
      <c r="N86">
        <f>ABS(sales_dataset[[#This Row],[Column4]])</f>
        <v>100</v>
      </c>
      <c r="O86">
        <f t="shared" si="1"/>
        <v>500</v>
      </c>
    </row>
    <row r="87" spans="1:15" x14ac:dyDescent="0.3">
      <c r="A87" s="1" t="s">
        <v>319</v>
      </c>
      <c r="B87" s="2">
        <v>45582</v>
      </c>
      <c r="C87" s="1" t="str">
        <f>IF(TRIM(sales_dataset[[#This Row],[SalesChannel]])="",sales_dataset!C88,PROPER(TRIM(sales_dataset[[#This Row],[SalesChannel]])))</f>
        <v>Offline</v>
      </c>
      <c r="D87" s="1" t="s">
        <v>320</v>
      </c>
      <c r="E87" s="1" t="str">
        <f>IF(TRIM(sales_dataset[[#This Row],[CustomerName]])="",sales_dataset!F93, PROPER(TRIM(sales_dataset[[#This Row],[CustomerName]])))</f>
        <v>Sara</v>
      </c>
      <c r="F87" s="1" t="str">
        <f>IF(TRIM(sales_dataset[[#This Row],[City]])="", sales_dataset!$H$3, PROPER(TRIM(sales_dataset[[#This Row],[City]])))</f>
        <v>Mumbai</v>
      </c>
      <c r="G87" t="str">
        <f>PROPER(sales_dataset[[#This Row],[Region cleaned]])</f>
        <v>South</v>
      </c>
      <c r="H87" t="s">
        <v>20</v>
      </c>
      <c r="I87" t="str">
        <f>IF(TRIM(sales_dataset[[#This Row],[SalespersonName]])="",I90,PROPER(TRIM(sales_dataset[[#This Row],[SalespersonName]])))</f>
        <v>Sam</v>
      </c>
      <c r="J87" s="1" t="s">
        <v>40</v>
      </c>
      <c r="K87" s="1" t="str">
        <f>PROPER(sales_dataset[[#This Row],[ProductCategory cleaned]])</f>
        <v>Electronics</v>
      </c>
      <c r="L87" s="1" t="str">
        <f>PROPER(sales_dataset[[#This Row],[ProductName]])</f>
        <v>Shirt</v>
      </c>
      <c r="M87">
        <f>ABS(sales_dataset!W:W)</f>
        <v>5</v>
      </c>
      <c r="N87">
        <f>ABS(sales_dataset[[#This Row],[Column4]])</f>
        <v>2000</v>
      </c>
      <c r="O87">
        <f t="shared" si="1"/>
        <v>10000</v>
      </c>
    </row>
    <row r="88" spans="1:15" x14ac:dyDescent="0.3">
      <c r="A88" s="1" t="s">
        <v>321</v>
      </c>
      <c r="B88" s="2">
        <v>45453</v>
      </c>
      <c r="C88" s="1" t="str">
        <f>IF(TRIM(sales_dataset[[#This Row],[SalesChannel]])="",sales_dataset!C89,PROPER(TRIM(sales_dataset[[#This Row],[SalesChannel]])))</f>
        <v>Store</v>
      </c>
      <c r="D88" s="1" t="s">
        <v>36</v>
      </c>
      <c r="E88" s="1" t="str">
        <f>IF(TRIM(sales_dataset[[#This Row],[CustomerName]])="",sales_dataset!F94, PROPER(TRIM(sales_dataset[[#This Row],[CustomerName]])))</f>
        <v>Sara</v>
      </c>
      <c r="F88" s="1" t="str">
        <f>IF(TRIM(sales_dataset[[#This Row],[City]])="", sales_dataset!$H$3, PROPER(TRIM(sales_dataset[[#This Row],[City]])))</f>
        <v>Mumbai</v>
      </c>
      <c r="G88" t="str">
        <f>PROPER(sales_dataset[[#This Row],[Region cleaned]])</f>
        <v>East</v>
      </c>
      <c r="H88" t="s">
        <v>247</v>
      </c>
      <c r="I88" t="str">
        <f>IF(TRIM(sales_dataset[[#This Row],[SalespersonName]])="",I91,PROPER(TRIM(sales_dataset[[#This Row],[SalespersonName]])))</f>
        <v>Kevin</v>
      </c>
      <c r="J88" s="1" t="s">
        <v>112</v>
      </c>
      <c r="K88" s="1" t="str">
        <f>PROPER(sales_dataset[[#This Row],[ProductCategory cleaned]])</f>
        <v>Electronics</v>
      </c>
      <c r="L88" s="1" t="str">
        <f>PROPER(sales_dataset[[#This Row],[ProductName]])</f>
        <v>Laptop</v>
      </c>
      <c r="M88">
        <f>ABS(sales_dataset!W:W)</f>
        <v>3</v>
      </c>
      <c r="N88">
        <f>ABS(sales_dataset[[#This Row],[Column4]])</f>
        <v>1500</v>
      </c>
      <c r="O88">
        <f t="shared" si="1"/>
        <v>4500</v>
      </c>
    </row>
    <row r="89" spans="1:15" x14ac:dyDescent="0.3">
      <c r="A89" s="1" t="s">
        <v>322</v>
      </c>
      <c r="B89" s="2">
        <v>45400</v>
      </c>
      <c r="C89" s="1" t="str">
        <f>IF(TRIM(sales_dataset[[#This Row],[SalesChannel]])="",sales_dataset!C90,PROPER(TRIM(sales_dataset[[#This Row],[SalesChannel]])))</f>
        <v>Store</v>
      </c>
      <c r="D89" s="1" t="s">
        <v>323</v>
      </c>
      <c r="E89" s="1" t="str">
        <f>IF(TRIM(sales_dataset[[#This Row],[CustomerName]])="",sales_dataset!F95, PROPER(TRIM(sales_dataset[[#This Row],[CustomerName]])))</f>
        <v>John</v>
      </c>
      <c r="F89" s="1" t="str">
        <f>IF(TRIM(sales_dataset[[#This Row],[City]])="", sales_dataset!$H$3, PROPER(TRIM(sales_dataset[[#This Row],[City]])))</f>
        <v>Delhi</v>
      </c>
      <c r="G89" t="str">
        <f>PROPER(sales_dataset[[#This Row],[Region cleaned]])</f>
        <v>West</v>
      </c>
      <c r="H89" t="s">
        <v>140</v>
      </c>
      <c r="I89" t="str">
        <f>IF(TRIM(sales_dataset[[#This Row],[SalespersonName]])="",I92,PROPER(TRIM(sales_dataset[[#This Row],[SalespersonName]])))</f>
        <v>Anita</v>
      </c>
      <c r="J89" s="1" t="s">
        <v>191</v>
      </c>
      <c r="K89" s="1" t="str">
        <f>PROPER(sales_dataset[[#This Row],[ProductCategory cleaned]])</f>
        <v>Home</v>
      </c>
      <c r="L89" s="1" t="str">
        <f>PROPER(sales_dataset[[#This Row],[ProductName]])</f>
        <v>Sofa</v>
      </c>
      <c r="M89">
        <f>ABS(sales_dataset!W:W)</f>
        <v>2</v>
      </c>
      <c r="N89">
        <f>ABS(sales_dataset[[#This Row],[Column4]])</f>
        <v>500</v>
      </c>
      <c r="O89">
        <f t="shared" si="1"/>
        <v>1000</v>
      </c>
    </row>
    <row r="90" spans="1:15" x14ac:dyDescent="0.3">
      <c r="A90" s="1" t="s">
        <v>324</v>
      </c>
      <c r="B90" s="2">
        <v>45547</v>
      </c>
      <c r="C90" s="1" t="str">
        <f>IF(TRIM(sales_dataset[[#This Row],[SalesChannel]])="",sales_dataset!C91,PROPER(TRIM(sales_dataset[[#This Row],[SalesChannel]])))</f>
        <v>Online</v>
      </c>
      <c r="D90" s="1" t="s">
        <v>325</v>
      </c>
      <c r="E90" s="1" t="str">
        <f>IF(TRIM(sales_dataset[[#This Row],[CustomerName]])="",sales_dataset!F96, PROPER(TRIM(sales_dataset[[#This Row],[CustomerName]])))</f>
        <v>Sara</v>
      </c>
      <c r="F90" s="1" t="str">
        <f>IF(TRIM(sales_dataset[[#This Row],[City]])="", sales_dataset!$H$3, PROPER(TRIM(sales_dataset[[#This Row],[City]])))</f>
        <v>Mumbai</v>
      </c>
      <c r="G90" t="str">
        <f>PROPER(sales_dataset[[#This Row],[Region cleaned]])</f>
        <v>North</v>
      </c>
      <c r="H90" t="s">
        <v>85</v>
      </c>
      <c r="I90" t="str">
        <f>IF(TRIM(sales_dataset[[#This Row],[SalespersonName]])="",I93,PROPER(TRIM(sales_dataset[[#This Row],[SalespersonName]])))</f>
        <v>Sam</v>
      </c>
      <c r="J90" s="1" t="s">
        <v>153</v>
      </c>
      <c r="K90" s="1" t="str">
        <f>PROPER(sales_dataset[[#This Row],[ProductCategory cleaned]])</f>
        <v>Electronics</v>
      </c>
      <c r="L90" s="1" t="str">
        <f>PROPER(sales_dataset[[#This Row],[ProductName]])</f>
        <v>Tv</v>
      </c>
      <c r="M90">
        <f>ABS(sales_dataset!W:W)</f>
        <v>1</v>
      </c>
      <c r="N90">
        <f>ABS(sales_dataset[[#This Row],[Column4]])</f>
        <v>100</v>
      </c>
      <c r="O90">
        <f t="shared" si="1"/>
        <v>100</v>
      </c>
    </row>
    <row r="91" spans="1:15" x14ac:dyDescent="0.3">
      <c r="A91" s="1" t="s">
        <v>326</v>
      </c>
      <c r="B91" s="2">
        <v>45494</v>
      </c>
      <c r="C91" s="1" t="str">
        <f>IF(TRIM(sales_dataset[[#This Row],[SalesChannel]])="",sales_dataset!C92,PROPER(TRIM(sales_dataset[[#This Row],[SalesChannel]])))</f>
        <v>Online</v>
      </c>
      <c r="D91" s="1" t="s">
        <v>44</v>
      </c>
      <c r="E91" s="1" t="str">
        <f>IF(TRIM(sales_dataset[[#This Row],[CustomerName]])="",sales_dataset!F97, PROPER(TRIM(sales_dataset[[#This Row],[CustomerName]])))</f>
        <v>David</v>
      </c>
      <c r="F91" s="1" t="str">
        <f>IF(TRIM(sales_dataset[[#This Row],[City]])="", sales_dataset!$H$3, PROPER(TRIM(sales_dataset[[#This Row],[City]])))</f>
        <v>Mumbai</v>
      </c>
      <c r="G91" t="str">
        <f>PROPER(sales_dataset[[#This Row],[Region cleaned]])</f>
        <v>South</v>
      </c>
      <c r="H91" t="s">
        <v>136</v>
      </c>
      <c r="I91" t="str">
        <f>IF(TRIM(sales_dataset[[#This Row],[SalespersonName]])="",I94,PROPER(TRIM(sales_dataset[[#This Row],[SalespersonName]])))</f>
        <v>Kevin</v>
      </c>
      <c r="J91" s="1" t="s">
        <v>327</v>
      </c>
      <c r="K91" s="1" t="str">
        <f>PROPER(sales_dataset[[#This Row],[ProductCategory cleaned]])</f>
        <v>Electronics</v>
      </c>
      <c r="L91" s="1" t="str">
        <f>PROPER(sales_dataset[[#This Row],[ProductName]])</f>
        <v>Shirt</v>
      </c>
      <c r="M91">
        <f>ABS(sales_dataset!W:W)</f>
        <v>1</v>
      </c>
      <c r="N91">
        <f>ABS(sales_dataset[[#This Row],[Column4]])</f>
        <v>2000</v>
      </c>
      <c r="O91">
        <f t="shared" si="1"/>
        <v>2000</v>
      </c>
    </row>
    <row r="92" spans="1:15" x14ac:dyDescent="0.3">
      <c r="A92" s="1" t="s">
        <v>328</v>
      </c>
      <c r="B92" s="2">
        <v>45526</v>
      </c>
      <c r="C92" s="1" t="str">
        <f>IF(TRIM(sales_dataset[[#This Row],[SalesChannel]])="",sales_dataset!C93,PROPER(TRIM(sales_dataset[[#This Row],[SalesChannel]])))</f>
        <v>Online</v>
      </c>
      <c r="D92" s="1" t="s">
        <v>302</v>
      </c>
      <c r="E92" s="1" t="str">
        <f>IF(TRIM(sales_dataset[[#This Row],[CustomerName]])="",sales_dataset!F98, PROPER(TRIM(sales_dataset[[#This Row],[CustomerName]])))</f>
        <v>John</v>
      </c>
      <c r="F92" s="1" t="str">
        <f>IF(TRIM(sales_dataset[[#This Row],[City]])="", sales_dataset!$H$3, PROPER(TRIM(sales_dataset[[#This Row],[City]])))</f>
        <v>Delhi</v>
      </c>
      <c r="G92" t="str">
        <f>PROPER(sales_dataset[[#This Row],[Region cleaned]])</f>
        <v>West</v>
      </c>
      <c r="H92" t="s">
        <v>209</v>
      </c>
      <c r="I92" t="str">
        <f>IF(TRIM(sales_dataset[[#This Row],[SalespersonName]])="",I95,PROPER(TRIM(sales_dataset[[#This Row],[SalespersonName]])))</f>
        <v>Megha</v>
      </c>
      <c r="J92" s="1" t="s">
        <v>81</v>
      </c>
      <c r="K92" s="1" t="str">
        <f>PROPER(sales_dataset[[#This Row],[ProductCategory cleaned]])</f>
        <v>Home</v>
      </c>
      <c r="L92" s="1" t="str">
        <f>PROPER(sales_dataset[[#This Row],[ProductName]])</f>
        <v>Sofa</v>
      </c>
      <c r="M92">
        <f>ABS(sales_dataset!W:W)</f>
        <v>1</v>
      </c>
      <c r="N92">
        <f>ABS(sales_dataset[[#This Row],[Column4]])</f>
        <v>1500</v>
      </c>
      <c r="O92">
        <f t="shared" si="1"/>
        <v>1500</v>
      </c>
    </row>
    <row r="93" spans="1:15" x14ac:dyDescent="0.3">
      <c r="A93" s="1" t="s">
        <v>329</v>
      </c>
      <c r="B93" s="2">
        <v>45365</v>
      </c>
      <c r="C93" s="1" t="str">
        <f>IF(TRIM(sales_dataset[[#This Row],[SalesChannel]])="",sales_dataset!C94,PROPER(TRIM(sales_dataset[[#This Row],[SalesChannel]])))</f>
        <v>Offline</v>
      </c>
      <c r="D93" s="1" t="s">
        <v>300</v>
      </c>
      <c r="E93" s="1" t="str">
        <f>IF(TRIM(sales_dataset[[#This Row],[CustomerName]])="",sales_dataset!F99, PROPER(TRIM(sales_dataset[[#This Row],[CustomerName]])))</f>
        <v>Sara</v>
      </c>
      <c r="F93" s="1" t="str">
        <f>IF(TRIM(sales_dataset[[#This Row],[City]])="", sales_dataset!$H$3, PROPER(TRIM(sales_dataset[[#This Row],[City]])))</f>
        <v>Hyderabad</v>
      </c>
      <c r="G93" t="str">
        <f>PROPER(sales_dataset[[#This Row],[Region cleaned]])</f>
        <v>North</v>
      </c>
      <c r="H93" t="s">
        <v>152</v>
      </c>
      <c r="I93" t="str">
        <f>IF(TRIM(sales_dataset[[#This Row],[SalespersonName]])="",I96,PROPER(TRIM(sales_dataset[[#This Row],[SalespersonName]])))</f>
        <v>Anita</v>
      </c>
      <c r="J93" s="1" t="s">
        <v>178</v>
      </c>
      <c r="K93" s="1" t="str">
        <f>PROPER(sales_dataset[[#This Row],[ProductCategory cleaned]])</f>
        <v>Clothing</v>
      </c>
      <c r="L93" s="1" t="str">
        <f>PROPER(sales_dataset[[#This Row],[ProductName]])</f>
        <v>Sofa</v>
      </c>
      <c r="M93">
        <f>ABS(sales_dataset!W:W)</f>
        <v>3</v>
      </c>
      <c r="N93">
        <f>ABS(sales_dataset[[#This Row],[Column4]])</f>
        <v>2000</v>
      </c>
      <c r="O93">
        <f t="shared" si="1"/>
        <v>6000</v>
      </c>
    </row>
    <row r="94" spans="1:15" x14ac:dyDescent="0.3">
      <c r="A94" s="1" t="s">
        <v>330</v>
      </c>
      <c r="B94" s="2">
        <v>45427</v>
      </c>
      <c r="C94" s="1" t="str">
        <f>IF(TRIM(sales_dataset[[#This Row],[SalesChannel]])="",sales_dataset!C95,PROPER(TRIM(sales_dataset[[#This Row],[SalesChannel]])))</f>
        <v>Store</v>
      </c>
      <c r="D94" s="1" t="s">
        <v>331</v>
      </c>
      <c r="E94" s="1" t="str">
        <f>IF(TRIM(sales_dataset[[#This Row],[CustomerName]])="",sales_dataset!F100, PROPER(TRIM(sales_dataset[[#This Row],[CustomerName]])))</f>
        <v>John</v>
      </c>
      <c r="F94" s="1" t="str">
        <f>IF(TRIM(sales_dataset[[#This Row],[City]])="", sales_dataset!$H$3, PROPER(TRIM(sales_dataset[[#This Row],[City]])))</f>
        <v>Mumbai</v>
      </c>
      <c r="G94" t="str">
        <f>PROPER(sales_dataset[[#This Row],[Region cleaned]])</f>
        <v>South</v>
      </c>
      <c r="H94" t="s">
        <v>177</v>
      </c>
      <c r="I94" t="str">
        <f>IF(TRIM(sales_dataset[[#This Row],[SalespersonName]])="",I97,PROPER(TRIM(sales_dataset[[#This Row],[SalespersonName]])))</f>
        <v>Anita</v>
      </c>
      <c r="J94" s="1" t="s">
        <v>221</v>
      </c>
      <c r="K94" s="1" t="str">
        <f>PROPER(sales_dataset[[#This Row],[ProductCategory cleaned]])</f>
        <v>Electronics</v>
      </c>
      <c r="L94" s="1" t="str">
        <f>PROPER(sales_dataset[[#This Row],[ProductName]])</f>
        <v>Shirt</v>
      </c>
      <c r="M94">
        <f>ABS(sales_dataset!W:W)</f>
        <v>3</v>
      </c>
      <c r="N94">
        <f>ABS(sales_dataset[[#This Row],[Column4]])</f>
        <v>500</v>
      </c>
      <c r="O94">
        <f t="shared" si="1"/>
        <v>1500</v>
      </c>
    </row>
    <row r="95" spans="1:15" x14ac:dyDescent="0.3">
      <c r="A95" s="1" t="s">
        <v>332</v>
      </c>
      <c r="B95" s="2">
        <v>45363</v>
      </c>
      <c r="C95" s="1" t="str">
        <f>IF(TRIM(sales_dataset[[#This Row],[SalesChannel]])="",sales_dataset!C96,PROPER(TRIM(sales_dataset[[#This Row],[SalesChannel]])))</f>
        <v>Store</v>
      </c>
      <c r="D95" s="1" t="s">
        <v>333</v>
      </c>
      <c r="E95" s="1" t="str">
        <f>IF(TRIM(sales_dataset[[#This Row],[CustomerName]])="",sales_dataset!F101, PROPER(TRIM(sales_dataset[[#This Row],[CustomerName]])))</f>
        <v>David</v>
      </c>
      <c r="F95" s="1" t="str">
        <f>IF(TRIM(sales_dataset[[#This Row],[City]])="", sales_dataset!$H$3, PROPER(TRIM(sales_dataset[[#This Row],[City]])))</f>
        <v>Delhi</v>
      </c>
      <c r="G95" t="str">
        <f>PROPER(sales_dataset[[#This Row],[Region cleaned]])</f>
        <v>West</v>
      </c>
      <c r="H95" t="s">
        <v>152</v>
      </c>
      <c r="I95" t="str">
        <f>IF(TRIM(sales_dataset[[#This Row],[SalespersonName]])="",I98,PROPER(TRIM(sales_dataset[[#This Row],[SalespersonName]])))</f>
        <v>Megha</v>
      </c>
      <c r="J95" s="1" t="s">
        <v>108</v>
      </c>
      <c r="K95" s="1" t="str">
        <f>PROPER(sales_dataset[[#This Row],[ProductCategory cleaned]])</f>
        <v>Electronics</v>
      </c>
      <c r="L95" s="1" t="str">
        <f>PROPER(sales_dataset[[#This Row],[ProductName]])</f>
        <v>Laptop</v>
      </c>
      <c r="M95">
        <f>ABS(sales_dataset!W:W)</f>
        <v>4</v>
      </c>
      <c r="N95">
        <f>ABS(sales_dataset[[#This Row],[Column4]])</f>
        <v>2000</v>
      </c>
      <c r="O95">
        <f t="shared" si="1"/>
        <v>8000</v>
      </c>
    </row>
    <row r="96" spans="1:15" x14ac:dyDescent="0.3">
      <c r="A96" s="1" t="s">
        <v>334</v>
      </c>
      <c r="B96" s="2">
        <v>45418</v>
      </c>
      <c r="C96" s="1" t="str">
        <f>IF(TRIM(sales_dataset[[#This Row],[SalesChannel]])="",sales_dataset!C97,PROPER(TRIM(sales_dataset[[#This Row],[SalesChannel]])))</f>
        <v>Online</v>
      </c>
      <c r="D96" s="1" t="s">
        <v>335</v>
      </c>
      <c r="E96" s="1" t="str">
        <f>IF(TRIM(sales_dataset[[#This Row],[CustomerName]])="",sales_dataset!F102, PROPER(TRIM(sales_dataset[[#This Row],[CustomerName]])))</f>
        <v>David</v>
      </c>
      <c r="F96" s="1" t="str">
        <f>IF(TRIM(sales_dataset[[#This Row],[City]])="", sales_dataset!$H$3, PROPER(TRIM(sales_dataset[[#This Row],[City]])))</f>
        <v>Delhi</v>
      </c>
      <c r="G96" t="str">
        <f>PROPER(sales_dataset[[#This Row],[Region cleaned]])</f>
        <v>East</v>
      </c>
      <c r="H96" t="s">
        <v>258</v>
      </c>
      <c r="I96" t="str">
        <f>IF(TRIM(sales_dataset[[#This Row],[SalespersonName]])="",I99,PROPER(TRIM(sales_dataset[[#This Row],[SalespersonName]])))</f>
        <v>Kevin</v>
      </c>
      <c r="J96" s="1" t="s">
        <v>196</v>
      </c>
      <c r="K96" s="1" t="str">
        <f>PROPER(sales_dataset[[#This Row],[ProductCategory cleaned]])</f>
        <v>Clothing</v>
      </c>
      <c r="L96" s="1" t="str">
        <f>PROPER(sales_dataset[[#This Row],[ProductName]])</f>
        <v/>
      </c>
      <c r="M96">
        <f>ABS(sales_dataset!W:W)</f>
        <v>0</v>
      </c>
      <c r="N96">
        <f>ABS(sales_dataset[[#This Row],[Column4]])</f>
        <v>2500</v>
      </c>
      <c r="O96">
        <f t="shared" si="1"/>
        <v>0</v>
      </c>
    </row>
    <row r="97" spans="1:15" x14ac:dyDescent="0.3">
      <c r="A97" s="1" t="s">
        <v>336</v>
      </c>
      <c r="B97" s="2">
        <v>45579</v>
      </c>
      <c r="C97" s="1" t="str">
        <f>IF(TRIM(sales_dataset[[#This Row],[SalesChannel]])="",sales_dataset!C98,PROPER(TRIM(sales_dataset[[#This Row],[SalesChannel]])))</f>
        <v>Online</v>
      </c>
      <c r="D97" s="1" t="s">
        <v>337</v>
      </c>
      <c r="E97" s="1" t="str">
        <f>IF(TRIM(sales_dataset[[#This Row],[CustomerName]])="",sales_dataset!F103, PROPER(TRIM(sales_dataset[[#This Row],[CustomerName]])))</f>
        <v>Priya</v>
      </c>
      <c r="F97" s="1" t="str">
        <f>IF(TRIM(sales_dataset[[#This Row],[City]])="", sales_dataset!$H$3, PROPER(TRIM(sales_dataset[[#This Row],[City]])))</f>
        <v>Chennai</v>
      </c>
      <c r="G97" t="str">
        <f>PROPER(sales_dataset[[#This Row],[Region cleaned]])</f>
        <v>North</v>
      </c>
      <c r="H97" t="s">
        <v>258</v>
      </c>
      <c r="I97" t="str">
        <f>IF(TRIM(sales_dataset[[#This Row],[SalespersonName]])="",I100,PROPER(TRIM(sales_dataset[[#This Row],[SalespersonName]])))</f>
        <v>Anita</v>
      </c>
      <c r="J97" s="1" t="s">
        <v>219</v>
      </c>
      <c r="K97" s="1" t="str">
        <f>PROPER(sales_dataset[[#This Row],[ProductCategory cleaned]])</f>
        <v>Electronics</v>
      </c>
      <c r="L97" s="1" t="str">
        <f>PROPER(sales_dataset[[#This Row],[ProductName]])</f>
        <v>Shirt</v>
      </c>
      <c r="M97">
        <f>ABS(sales_dataset!W:W)</f>
        <v>5</v>
      </c>
      <c r="N97">
        <f>ABS(sales_dataset[[#This Row],[Column4]])</f>
        <v>500</v>
      </c>
      <c r="O97">
        <f t="shared" si="1"/>
        <v>2500</v>
      </c>
    </row>
    <row r="98" spans="1:15" x14ac:dyDescent="0.3">
      <c r="A98" s="1" t="s">
        <v>338</v>
      </c>
      <c r="B98" s="2">
        <v>45567</v>
      </c>
      <c r="C98" s="1" t="str">
        <f>IF(TRIM(sales_dataset[[#This Row],[SalesChannel]])="",sales_dataset!C99,PROPER(TRIM(sales_dataset[[#This Row],[SalesChannel]])))</f>
        <v>Online</v>
      </c>
      <c r="D98" s="1" t="s">
        <v>339</v>
      </c>
      <c r="E98" s="1" t="str">
        <f>IF(TRIM(sales_dataset[[#This Row],[CustomerName]])="",sales_dataset!F104, PROPER(TRIM(sales_dataset[[#This Row],[CustomerName]])))</f>
        <v>John</v>
      </c>
      <c r="F98" s="1" t="str">
        <f>IF(TRIM(sales_dataset[[#This Row],[City]])="", sales_dataset!$H$3, PROPER(TRIM(sales_dataset[[#This Row],[City]])))</f>
        <v>Chennai</v>
      </c>
      <c r="G98" t="str">
        <f>PROPER(sales_dataset[[#This Row],[Region cleaned]])</f>
        <v>West</v>
      </c>
      <c r="H98" t="s">
        <v>258</v>
      </c>
      <c r="I98" t="str">
        <f>IF(TRIM(sales_dataset[[#This Row],[SalespersonName]])="",I101,PROPER(TRIM(sales_dataset[[#This Row],[SalespersonName]])))</f>
        <v>Megha</v>
      </c>
      <c r="J98" s="1" t="s">
        <v>340</v>
      </c>
      <c r="K98" s="1" t="str">
        <f>PROPER(sales_dataset[[#This Row],[ProductCategory cleaned]])</f>
        <v>Clothing</v>
      </c>
      <c r="L98" s="1" t="str">
        <f>PROPER(sales_dataset[[#This Row],[ProductName]])</f>
        <v>Watch</v>
      </c>
      <c r="M98">
        <f>ABS(sales_dataset!W:W)</f>
        <v>5</v>
      </c>
      <c r="N98">
        <f>ABS(sales_dataset[[#This Row],[Column4]])</f>
        <v>100</v>
      </c>
      <c r="O98">
        <f t="shared" si="1"/>
        <v>500</v>
      </c>
    </row>
    <row r="99" spans="1:15" x14ac:dyDescent="0.3">
      <c r="A99" s="1" t="s">
        <v>341</v>
      </c>
      <c r="B99" s="2">
        <v>45426</v>
      </c>
      <c r="C99" s="1" t="str">
        <f>IF(TRIM(sales_dataset[[#This Row],[SalesChannel]])="",sales_dataset!C100,PROPER(TRIM(sales_dataset[[#This Row],[SalesChannel]])))</f>
        <v>Offline</v>
      </c>
      <c r="D99" s="1" t="s">
        <v>78</v>
      </c>
      <c r="E99" s="1" t="str">
        <f>IF(TRIM(sales_dataset[[#This Row],[CustomerName]])="",sales_dataset!F105, PROPER(TRIM(sales_dataset[[#This Row],[CustomerName]])))</f>
        <v>Sara</v>
      </c>
      <c r="F99" s="1" t="str">
        <f>IF(TRIM(sales_dataset[[#This Row],[City]])="", sales_dataset!$H$3, PROPER(TRIM(sales_dataset[[#This Row],[City]])))</f>
        <v>Delhi</v>
      </c>
      <c r="G99" t="str">
        <f>PROPER(sales_dataset[[#This Row],[Region cleaned]])</f>
        <v>North</v>
      </c>
      <c r="H99" t="s">
        <v>237</v>
      </c>
      <c r="I99" t="str">
        <f>IF(TRIM(sales_dataset[[#This Row],[SalespersonName]])="",I102,PROPER(TRIM(sales_dataset[[#This Row],[SalespersonName]])))</f>
        <v>Sam</v>
      </c>
      <c r="J99" s="1" t="s">
        <v>86</v>
      </c>
      <c r="K99" s="1" t="str">
        <f>PROPER(sales_dataset[[#This Row],[ProductCategory cleaned]])</f>
        <v>Electronics</v>
      </c>
      <c r="L99" s="1" t="str">
        <f>PROPER(sales_dataset[[#This Row],[ProductName]])</f>
        <v>Tv</v>
      </c>
      <c r="M99">
        <f>ABS(sales_dataset!W:W)</f>
        <v>5</v>
      </c>
      <c r="N99">
        <f>ABS(sales_dataset[[#This Row],[Column4]])</f>
        <v>100</v>
      </c>
      <c r="O99">
        <f t="shared" si="1"/>
        <v>500</v>
      </c>
    </row>
    <row r="100" spans="1:15" x14ac:dyDescent="0.3">
      <c r="A100" s="1" t="s">
        <v>342</v>
      </c>
      <c r="B100" s="2">
        <v>45591</v>
      </c>
      <c r="C100" s="1" t="str">
        <f>IF(TRIM(sales_dataset[[#This Row],[SalesChannel]])="",sales_dataset!C101,PROPER(TRIM(sales_dataset[[#This Row],[SalesChannel]])))</f>
        <v>Store</v>
      </c>
      <c r="D100" s="1" t="s">
        <v>211</v>
      </c>
      <c r="E100" s="1" t="str">
        <f>IF(TRIM(sales_dataset[[#This Row],[CustomerName]])="",sales_dataset!F106, PROPER(TRIM(sales_dataset[[#This Row],[CustomerName]])))</f>
        <v>Amit</v>
      </c>
      <c r="F100" s="1" t="str">
        <f>IF(TRIM(sales_dataset[[#This Row],[City]])="", sales_dataset!$H$3, PROPER(TRIM(sales_dataset[[#This Row],[City]])))</f>
        <v>Chennai</v>
      </c>
      <c r="G100" t="str">
        <f>PROPER(sales_dataset[[#This Row],[Region cleaned]])</f>
        <v>West</v>
      </c>
      <c r="H100" t="s">
        <v>343</v>
      </c>
      <c r="I100" t="str">
        <f>IF(TRIM(sales_dataset[[#This Row],[SalespersonName]])="",I103,PROPER(TRIM(sales_dataset[[#This Row],[SalespersonName]])))</f>
        <v>Anita</v>
      </c>
      <c r="J100" s="1" t="s">
        <v>344</v>
      </c>
      <c r="K100" s="1" t="str">
        <f>PROPER(sales_dataset[[#This Row],[ProductCategory cleaned]])</f>
        <v>Home</v>
      </c>
      <c r="L100" s="1" t="str">
        <f>PROPER(sales_dataset[[#This Row],[ProductName]])</f>
        <v>Laptop</v>
      </c>
      <c r="M100">
        <f>ABS(sales_dataset!W:W)</f>
        <v>3</v>
      </c>
      <c r="N100">
        <f>ABS(sales_dataset[[#This Row],[Column4]])</f>
        <v>100</v>
      </c>
      <c r="O100">
        <f t="shared" si="1"/>
        <v>300</v>
      </c>
    </row>
    <row r="101" spans="1:15" x14ac:dyDescent="0.3">
      <c r="A101" s="1" t="s">
        <v>345</v>
      </c>
      <c r="B101" s="2">
        <v>45511</v>
      </c>
      <c r="C101" s="1" t="str">
        <f>IF(TRIM(sales_dataset[[#This Row],[SalesChannel]])="",sales_dataset!C102,PROPER(TRIM(sales_dataset[[#This Row],[SalesChannel]])))</f>
        <v>Store</v>
      </c>
      <c r="D101" s="1" t="s">
        <v>78</v>
      </c>
      <c r="E101" s="1" t="str">
        <f>IF(TRIM(sales_dataset[[#This Row],[CustomerName]])="",sales_dataset!F107, PROPER(TRIM(sales_dataset[[#This Row],[CustomerName]])))</f>
        <v>Priya</v>
      </c>
      <c r="F101" s="1" t="str">
        <f>IF(TRIM(sales_dataset[[#This Row],[City]])="", sales_dataset!$H$3, PROPER(TRIM(sales_dataset[[#This Row],[City]])))</f>
        <v>Bengaluru</v>
      </c>
      <c r="G101" t="str">
        <f>PROPER(sales_dataset[[#This Row],[Region cleaned]])</f>
        <v>North</v>
      </c>
      <c r="H101" t="s">
        <v>318</v>
      </c>
      <c r="I101" t="str">
        <f>IF(TRIM(sales_dataset[[#This Row],[SalespersonName]])="",I104,PROPER(TRIM(sales_dataset[[#This Row],[SalespersonName]])))</f>
        <v>Megha</v>
      </c>
      <c r="J101" s="1" t="s">
        <v>327</v>
      </c>
      <c r="K101" s="1" t="str">
        <f>PROPER(sales_dataset[[#This Row],[ProductCategory cleaned]])</f>
        <v>Electronics</v>
      </c>
      <c r="L101" s="1" t="str">
        <f>PROPER(sales_dataset[[#This Row],[ProductName]])</f>
        <v/>
      </c>
      <c r="M101">
        <f>ABS(sales_dataset!W:W)</f>
        <v>4</v>
      </c>
      <c r="N101">
        <f>ABS(sales_dataset[[#This Row],[Column4]])</f>
        <v>100</v>
      </c>
      <c r="O101">
        <f t="shared" si="1"/>
        <v>400</v>
      </c>
    </row>
    <row r="102" spans="1:15" x14ac:dyDescent="0.3">
      <c r="A102" s="1" t="s">
        <v>346</v>
      </c>
      <c r="B102" s="2">
        <v>45590</v>
      </c>
      <c r="C102" s="1" t="str">
        <f>IF(TRIM(sales_dataset[[#This Row],[SalesChannel]])="",sales_dataset!C103,PROPER(TRIM(sales_dataset[[#This Row],[SalesChannel]])))</f>
        <v>Online</v>
      </c>
      <c r="D102" s="1" t="s">
        <v>240</v>
      </c>
      <c r="E102" s="1" t="str">
        <f>IF(TRIM(sales_dataset[[#This Row],[CustomerName]])="",sales_dataset!F108, PROPER(TRIM(sales_dataset[[#This Row],[CustomerName]])))</f>
        <v>David</v>
      </c>
      <c r="F102" s="1" t="str">
        <f>IF(TRIM(sales_dataset[[#This Row],[City]])="", sales_dataset!$H$3, PROPER(TRIM(sales_dataset[[#This Row],[City]])))</f>
        <v>Delhi</v>
      </c>
      <c r="G102" t="str">
        <f>PROPER(sales_dataset[[#This Row],[Region cleaned]])</f>
        <v>East</v>
      </c>
      <c r="H102" t="s">
        <v>218</v>
      </c>
      <c r="I102" t="str">
        <f>IF(TRIM(sales_dataset[[#This Row],[SalespersonName]])="",I105,PROPER(TRIM(sales_dataset[[#This Row],[SalespersonName]])))</f>
        <v>Megha</v>
      </c>
      <c r="J102" s="1" t="s">
        <v>347</v>
      </c>
      <c r="K102" s="1" t="str">
        <f>PROPER(sales_dataset[[#This Row],[ProductCategory cleaned]])</f>
        <v>Electronics</v>
      </c>
      <c r="L102" s="1" t="str">
        <f>PROPER(sales_dataset[[#This Row],[ProductName]])</f>
        <v>Shirt</v>
      </c>
      <c r="M102">
        <f>ABS(sales_dataset!W:W)</f>
        <v>2</v>
      </c>
      <c r="N102">
        <f>ABS(sales_dataset[[#This Row],[Column4]])</f>
        <v>1500</v>
      </c>
      <c r="O102">
        <f t="shared" si="1"/>
        <v>3000</v>
      </c>
    </row>
    <row r="103" spans="1:15" x14ac:dyDescent="0.3">
      <c r="A103" s="1" t="s">
        <v>348</v>
      </c>
      <c r="B103" s="2">
        <v>45496</v>
      </c>
      <c r="C103" s="1" t="str">
        <f>IF(TRIM(sales_dataset[[#This Row],[SalesChannel]])="",sales_dataset!C104,PROPER(TRIM(sales_dataset[[#This Row],[SalesChannel]])))</f>
        <v>Online</v>
      </c>
      <c r="D103" s="1" t="s">
        <v>349</v>
      </c>
      <c r="E103" s="1" t="str">
        <f>IF(TRIM(sales_dataset[[#This Row],[CustomerName]])="",sales_dataset!F109, PROPER(TRIM(sales_dataset[[#This Row],[CustomerName]])))</f>
        <v>Priya</v>
      </c>
      <c r="F103" s="1" t="str">
        <f>IF(TRIM(sales_dataset[[#This Row],[City]])="", sales_dataset!$H$3, PROPER(TRIM(sales_dataset[[#This Row],[City]])))</f>
        <v>Chennai</v>
      </c>
      <c r="G103" t="str">
        <f>PROPER(sales_dataset[[#This Row],[Region cleaned]])</f>
        <v>South</v>
      </c>
      <c r="H103" t="s">
        <v>350</v>
      </c>
      <c r="I103" t="str">
        <f>IF(TRIM(sales_dataset[[#This Row],[SalespersonName]])="",I106,PROPER(TRIM(sales_dataset[[#This Row],[SalespersonName]])))</f>
        <v>Kevin</v>
      </c>
      <c r="J103" s="1" t="s">
        <v>351</v>
      </c>
      <c r="K103" s="1" t="str">
        <f>PROPER(sales_dataset[[#This Row],[ProductCategory cleaned]])</f>
        <v>Home</v>
      </c>
      <c r="L103" s="1" t="str">
        <f>PROPER(sales_dataset[[#This Row],[ProductName]])</f>
        <v>Shirt</v>
      </c>
      <c r="M103">
        <f>ABS(sales_dataset!W:W)</f>
        <v>2</v>
      </c>
      <c r="N103">
        <f>ABS(sales_dataset[[#This Row],[Column4]])</f>
        <v>100</v>
      </c>
      <c r="O103">
        <f t="shared" si="1"/>
        <v>200</v>
      </c>
    </row>
    <row r="104" spans="1:15" x14ac:dyDescent="0.3">
      <c r="A104" s="1" t="s">
        <v>352</v>
      </c>
      <c r="B104" s="2">
        <v>45477</v>
      </c>
      <c r="C104" s="1" t="str">
        <f>IF(TRIM(sales_dataset[[#This Row],[SalesChannel]])="",sales_dataset!C105,PROPER(TRIM(sales_dataset[[#This Row],[SalesChannel]])))</f>
        <v>Online</v>
      </c>
      <c r="D104" s="1" t="s">
        <v>211</v>
      </c>
      <c r="E104" s="1" t="str">
        <f>IF(TRIM(sales_dataset[[#This Row],[CustomerName]])="",sales_dataset!F110, PROPER(TRIM(sales_dataset[[#This Row],[CustomerName]])))</f>
        <v/>
      </c>
      <c r="F104" s="1" t="str">
        <f>IF(TRIM(sales_dataset[[#This Row],[City]])="", sales_dataset!$H$3, PROPER(TRIM(sales_dataset[[#This Row],[City]])))</f>
        <v>Chennai</v>
      </c>
      <c r="G104" t="str">
        <f>PROPER(sales_dataset[[#This Row],[Region cleaned]])</f>
        <v>West</v>
      </c>
      <c r="H104" t="s">
        <v>55</v>
      </c>
      <c r="I104" t="str">
        <f>IF(TRIM(sales_dataset[[#This Row],[SalespersonName]])="",I107,PROPER(TRIM(sales_dataset[[#This Row],[SalespersonName]])))</f>
        <v>Raj</v>
      </c>
      <c r="J104" s="1" t="s">
        <v>353</v>
      </c>
      <c r="K104" s="1" t="str">
        <f>PROPER(sales_dataset[[#This Row],[ProductCategory cleaned]])</f>
        <v>Clothing</v>
      </c>
      <c r="L104" s="1" t="str">
        <f>PROPER(sales_dataset[[#This Row],[ProductName]])</f>
        <v>Tv</v>
      </c>
      <c r="M104">
        <f>ABS(sales_dataset!W:W)</f>
        <v>3</v>
      </c>
      <c r="N104">
        <f>ABS(sales_dataset[[#This Row],[Column4]])</f>
        <v>100</v>
      </c>
      <c r="O104">
        <f t="shared" si="1"/>
        <v>300</v>
      </c>
    </row>
    <row r="105" spans="1:15" x14ac:dyDescent="0.3">
      <c r="A105" s="1" t="s">
        <v>354</v>
      </c>
      <c r="B105" s="2">
        <v>45404</v>
      </c>
      <c r="C105" s="1" t="str">
        <f>IF(TRIM(sales_dataset[[#This Row],[SalesChannel]])="",sales_dataset!C106,PROPER(TRIM(sales_dataset[[#This Row],[SalesChannel]])))</f>
        <v>Offline</v>
      </c>
      <c r="D105" s="1" t="s">
        <v>355</v>
      </c>
      <c r="E105" s="1" t="str">
        <f>IF(TRIM(sales_dataset[[#This Row],[CustomerName]])="",sales_dataset!F111, PROPER(TRIM(sales_dataset[[#This Row],[CustomerName]])))</f>
        <v>Sara</v>
      </c>
      <c r="F105" s="1" t="str">
        <f>IF(TRIM(sales_dataset[[#This Row],[City]])="", sales_dataset!$H$3, PROPER(TRIM(sales_dataset[[#This Row],[City]])))</f>
        <v>Chennai</v>
      </c>
      <c r="G105" t="str">
        <f>PROPER(sales_dataset[[#This Row],[Region cleaned]])</f>
        <v>North</v>
      </c>
      <c r="H105" t="s">
        <v>85</v>
      </c>
      <c r="I105" t="str">
        <f>IF(TRIM(sales_dataset[[#This Row],[SalespersonName]])="",I108,PROPER(TRIM(sales_dataset[[#This Row],[SalespersonName]])))</f>
        <v>Megha</v>
      </c>
      <c r="J105" s="1" t="s">
        <v>100</v>
      </c>
      <c r="K105" s="1" t="str">
        <f>PROPER(sales_dataset[[#This Row],[ProductCategory cleaned]])</f>
        <v>Home</v>
      </c>
      <c r="L105" s="1" t="str">
        <f>PROPER(sales_dataset[[#This Row],[ProductName]])</f>
        <v>Tv</v>
      </c>
      <c r="M105">
        <f>ABS(sales_dataset!W:W)</f>
        <v>4</v>
      </c>
      <c r="N105">
        <f>ABS(sales_dataset[[#This Row],[Column4]])</f>
        <v>1500</v>
      </c>
      <c r="O105">
        <f t="shared" si="1"/>
        <v>6000</v>
      </c>
    </row>
    <row r="106" spans="1:15" x14ac:dyDescent="0.3">
      <c r="A106" s="1" t="s">
        <v>356</v>
      </c>
      <c r="B106" s="2">
        <v>45362</v>
      </c>
      <c r="C106" s="1" t="str">
        <f>IF(TRIM(sales_dataset[[#This Row],[SalesChannel]])="",sales_dataset!C107,PROPER(TRIM(sales_dataset[[#This Row],[SalesChannel]])))</f>
        <v>Store</v>
      </c>
      <c r="D106" s="1" t="s">
        <v>302</v>
      </c>
      <c r="E106" s="1" t="str">
        <f>IF(TRIM(sales_dataset[[#This Row],[CustomerName]])="",sales_dataset!F112, PROPER(TRIM(sales_dataset[[#This Row],[CustomerName]])))</f>
        <v>Priya</v>
      </c>
      <c r="F106" s="1" t="str">
        <f>IF(TRIM(sales_dataset[[#This Row],[City]])="", sales_dataset!$H$3, PROPER(TRIM(sales_dataset[[#This Row],[City]])))</f>
        <v>Mumbai</v>
      </c>
      <c r="G106" t="str">
        <f>PROPER(sales_dataset[[#This Row],[Region cleaned]])</f>
        <v>East</v>
      </c>
      <c r="H106" t="s">
        <v>209</v>
      </c>
      <c r="I106" t="str">
        <f>IF(TRIM(sales_dataset[[#This Row],[SalespersonName]])="",I109,PROPER(TRIM(sales_dataset[[#This Row],[SalespersonName]])))</f>
        <v>Anita</v>
      </c>
      <c r="J106" s="1" t="s">
        <v>293</v>
      </c>
      <c r="K106" s="1" t="str">
        <f>PROPER(sales_dataset[[#This Row],[ProductCategory cleaned]])</f>
        <v>Clothing</v>
      </c>
      <c r="L106" s="1" t="str">
        <f>PROPER(sales_dataset[[#This Row],[ProductName]])</f>
        <v>Shirt</v>
      </c>
      <c r="M106">
        <f>ABS(sales_dataset!W:W)</f>
        <v>3</v>
      </c>
      <c r="N106">
        <f>ABS(sales_dataset[[#This Row],[Column4]])</f>
        <v>2500</v>
      </c>
      <c r="O106">
        <f t="shared" si="1"/>
        <v>7500</v>
      </c>
    </row>
    <row r="107" spans="1:15" x14ac:dyDescent="0.3">
      <c r="A107" s="1" t="s">
        <v>357</v>
      </c>
      <c r="B107" s="2">
        <v>45552</v>
      </c>
      <c r="C107" s="1" t="str">
        <f>IF(TRIM(sales_dataset[[#This Row],[SalesChannel]])="",sales_dataset!C108,PROPER(TRIM(sales_dataset[[#This Row],[SalesChannel]])))</f>
        <v>Store</v>
      </c>
      <c r="D107" s="1" t="s">
        <v>358</v>
      </c>
      <c r="E107" s="1" t="str">
        <f>IF(TRIM(sales_dataset[[#This Row],[CustomerName]])="",sales_dataset!F113, PROPER(TRIM(sales_dataset[[#This Row],[CustomerName]])))</f>
        <v>priya</v>
      </c>
      <c r="F107" s="1" t="str">
        <f>IF(TRIM(sales_dataset[[#This Row],[City]])="", sales_dataset!$H$3, PROPER(TRIM(sales_dataset[[#This Row],[City]])))</f>
        <v>Mumbai</v>
      </c>
      <c r="G107" t="str">
        <f>PROPER(sales_dataset[[#This Row],[Region cleaned]])</f>
        <v>South</v>
      </c>
      <c r="H107" t="s">
        <v>152</v>
      </c>
      <c r="I107" t="str">
        <f>IF(TRIM(sales_dataset[[#This Row],[SalespersonName]])="",I110,PROPER(TRIM(sales_dataset[[#This Row],[SalespersonName]])))</f>
        <v>Raj</v>
      </c>
      <c r="J107" s="1" t="s">
        <v>178</v>
      </c>
      <c r="K107" s="1" t="str">
        <f>PROPER(sales_dataset[[#This Row],[ProductCategory cleaned]])</f>
        <v>Home</v>
      </c>
      <c r="L107" s="1" t="str">
        <f>PROPER(sales_dataset[[#This Row],[ProductName]])</f>
        <v>Shirt</v>
      </c>
      <c r="M107">
        <f>ABS(sales_dataset!W:W)</f>
        <v>1</v>
      </c>
      <c r="N107">
        <f>ABS(sales_dataset[[#This Row],[Column4]])</f>
        <v>1500</v>
      </c>
      <c r="O107">
        <f t="shared" si="1"/>
        <v>1500</v>
      </c>
    </row>
    <row r="108" spans="1:15" x14ac:dyDescent="0.3">
      <c r="A108" s="1" t="s">
        <v>359</v>
      </c>
      <c r="B108" s="2">
        <v>45544</v>
      </c>
      <c r="C108" s="1" t="str">
        <f>IF(TRIM(sales_dataset[[#This Row],[SalesChannel]])="",sales_dataset!C109,PROPER(TRIM(sales_dataset[[#This Row],[SalesChannel]])))</f>
        <v>Online</v>
      </c>
      <c r="D108" s="1" t="s">
        <v>360</v>
      </c>
      <c r="E108" s="1" t="str">
        <f>IF(TRIM(sales_dataset[[#This Row],[CustomerName]])="",sales_dataset!F114, PROPER(TRIM(sales_dataset[[#This Row],[CustomerName]])))</f>
        <v>David</v>
      </c>
      <c r="F108" s="1" t="str">
        <f>IF(TRIM(sales_dataset[[#This Row],[City]])="", sales_dataset!$H$3, PROPER(TRIM(sales_dataset[[#This Row],[City]])))</f>
        <v>Bengaluru</v>
      </c>
      <c r="G108" t="str">
        <f>PROPER(sales_dataset[[#This Row],[Region cleaned]])</f>
        <v>North</v>
      </c>
      <c r="H108" t="s">
        <v>237</v>
      </c>
      <c r="I108" t="str">
        <f>IF(TRIM(sales_dataset[[#This Row],[SalespersonName]])="",I111,PROPER(TRIM(sales_dataset[[#This Row],[SalespersonName]])))</f>
        <v>Sam</v>
      </c>
      <c r="J108" s="1" t="s">
        <v>327</v>
      </c>
      <c r="K108" s="1" t="str">
        <f>PROPER(sales_dataset[[#This Row],[ProductCategory cleaned]])</f>
        <v>Electronics</v>
      </c>
      <c r="L108" s="1" t="str">
        <f>PROPER(sales_dataset[[#This Row],[ProductName]])</f>
        <v/>
      </c>
      <c r="M108">
        <f>ABS(sales_dataset!W:W)</f>
        <v>2</v>
      </c>
      <c r="N108">
        <f>ABS(sales_dataset[[#This Row],[Column4]])</f>
        <v>2000</v>
      </c>
      <c r="O108">
        <f t="shared" si="1"/>
        <v>4000</v>
      </c>
    </row>
    <row r="109" spans="1:15" x14ac:dyDescent="0.3">
      <c r="A109" s="1" t="s">
        <v>361</v>
      </c>
      <c r="B109" s="2">
        <v>45338</v>
      </c>
      <c r="C109" s="1" t="str">
        <f>IF(TRIM(sales_dataset[[#This Row],[SalesChannel]])="",sales_dataset!C110,PROPER(TRIM(sales_dataset[[#This Row],[SalesChannel]])))</f>
        <v>Online</v>
      </c>
      <c r="D109" s="1" t="s">
        <v>362</v>
      </c>
      <c r="E109" s="1" t="str">
        <f>IF(TRIM(sales_dataset[[#This Row],[CustomerName]])="",sales_dataset!F115, PROPER(TRIM(sales_dataset[[#This Row],[CustomerName]])))</f>
        <v>Priya</v>
      </c>
      <c r="F109" s="1" t="str">
        <f>IF(TRIM(sales_dataset[[#This Row],[City]])="", sales_dataset!$H$3, PROPER(TRIM(sales_dataset[[#This Row],[City]])))</f>
        <v>Chennai</v>
      </c>
      <c r="G109" t="str">
        <f>PROPER(sales_dataset[[#This Row],[Region cleaned]])</f>
        <v>East</v>
      </c>
      <c r="H109" t="s">
        <v>38</v>
      </c>
      <c r="I109" t="str">
        <f>IF(TRIM(sales_dataset[[#This Row],[SalespersonName]])="",I112,PROPER(TRIM(sales_dataset[[#This Row],[SalespersonName]])))</f>
        <v>Anita</v>
      </c>
      <c r="J109" s="1" t="s">
        <v>363</v>
      </c>
      <c r="K109" s="1" t="str">
        <f>PROPER(sales_dataset[[#This Row],[ProductCategory cleaned]])</f>
        <v>Electronics</v>
      </c>
      <c r="L109" s="1" t="str">
        <f>PROPER(sales_dataset[[#This Row],[ProductName]])</f>
        <v>Watch</v>
      </c>
      <c r="M109">
        <f>ABS(sales_dataset!W:W)</f>
        <v>2</v>
      </c>
      <c r="N109">
        <f>ABS(sales_dataset[[#This Row],[Column4]])</f>
        <v>100</v>
      </c>
      <c r="O109">
        <f t="shared" si="1"/>
        <v>200</v>
      </c>
    </row>
    <row r="110" spans="1:15" x14ac:dyDescent="0.3">
      <c r="A110" s="1" t="s">
        <v>364</v>
      </c>
      <c r="B110" s="2">
        <v>45316</v>
      </c>
      <c r="C110" s="1" t="str">
        <f>IF(TRIM(sales_dataset[[#This Row],[SalesChannel]])="",sales_dataset!C111,PROPER(TRIM(sales_dataset[[#This Row],[SalesChannel]])))</f>
        <v>Online</v>
      </c>
      <c r="D110" s="1" t="s">
        <v>365</v>
      </c>
      <c r="E110" s="1" t="str">
        <f>IF(TRIM(sales_dataset[[#This Row],[CustomerName]])="",sales_dataset!F116, PROPER(TRIM(sales_dataset[[#This Row],[CustomerName]])))</f>
        <v>David</v>
      </c>
      <c r="F110" s="1" t="str">
        <f>IF(TRIM(sales_dataset[[#This Row],[City]])="", sales_dataset!$H$3, PROPER(TRIM(sales_dataset[[#This Row],[City]])))</f>
        <v>Bengaluru</v>
      </c>
      <c r="G110" t="str">
        <f>PROPER(sales_dataset[[#This Row],[Region cleaned]])</f>
        <v>North</v>
      </c>
      <c r="H110" t="s">
        <v>107</v>
      </c>
      <c r="I110" t="str">
        <f>IF(TRIM(sales_dataset[[#This Row],[SalespersonName]])="",I113,PROPER(TRIM(sales_dataset[[#This Row],[SalespersonName]])))</f>
        <v>Anita</v>
      </c>
      <c r="J110" s="1" t="s">
        <v>279</v>
      </c>
      <c r="K110" s="1" t="str">
        <f>PROPER(sales_dataset[[#This Row],[ProductCategory cleaned]])</f>
        <v>Home</v>
      </c>
      <c r="L110" s="1" t="str">
        <f>PROPER(sales_dataset[[#This Row],[ProductName]])</f>
        <v>Sofa</v>
      </c>
      <c r="M110">
        <f>ABS(sales_dataset!W:W)</f>
        <v>1</v>
      </c>
      <c r="N110">
        <f>ABS(sales_dataset[[#This Row],[Column4]])</f>
        <v>2000</v>
      </c>
      <c r="O110">
        <f t="shared" si="1"/>
        <v>2000</v>
      </c>
    </row>
    <row r="111" spans="1:15" x14ac:dyDescent="0.3">
      <c r="A111" s="1" t="s">
        <v>366</v>
      </c>
      <c r="B111" s="2">
        <v>45348</v>
      </c>
      <c r="C111" s="1" t="str">
        <f>IF(TRIM(sales_dataset[[#This Row],[SalesChannel]])="",sales_dataset!C112,PROPER(TRIM(sales_dataset[[#This Row],[SalesChannel]])))</f>
        <v>Offline</v>
      </c>
      <c r="D111" s="1" t="s">
        <v>367</v>
      </c>
      <c r="E111" s="1" t="str">
        <f>IF(TRIM(sales_dataset[[#This Row],[CustomerName]])="",sales_dataset!F117, PROPER(TRIM(sales_dataset[[#This Row],[CustomerName]])))</f>
        <v>Amit</v>
      </c>
      <c r="F111" s="1" t="str">
        <f>IF(TRIM(sales_dataset[[#This Row],[City]])="", sales_dataset!$H$3, PROPER(TRIM(sales_dataset[[#This Row],[City]])))</f>
        <v>Mumbai</v>
      </c>
      <c r="G111" t="str">
        <f>PROPER(sales_dataset[[#This Row],[Region cleaned]])</f>
        <v>East</v>
      </c>
      <c r="H111" t="s">
        <v>38</v>
      </c>
      <c r="I111" t="str">
        <f>IF(TRIM(sales_dataset[[#This Row],[SalespersonName]])="",I114,PROPER(TRIM(sales_dataset[[#This Row],[SalespersonName]])))</f>
        <v>Sam</v>
      </c>
      <c r="J111" s="1" t="s">
        <v>104</v>
      </c>
      <c r="K111" s="1" t="str">
        <f>PROPER(sales_dataset[[#This Row],[ProductCategory cleaned]])</f>
        <v>Electronics</v>
      </c>
      <c r="L111" s="1" t="str">
        <f>PROPER(sales_dataset[[#This Row],[ProductName]])</f>
        <v/>
      </c>
      <c r="M111">
        <f>ABS(sales_dataset!W:W)</f>
        <v>4</v>
      </c>
      <c r="N111">
        <f>ABS(sales_dataset[[#This Row],[Column4]])</f>
        <v>100</v>
      </c>
      <c r="O111">
        <f t="shared" si="1"/>
        <v>400</v>
      </c>
    </row>
    <row r="112" spans="1:15" x14ac:dyDescent="0.3">
      <c r="A112" s="1" t="s">
        <v>368</v>
      </c>
      <c r="B112" s="2">
        <v>45370</v>
      </c>
      <c r="C112" s="1" t="str">
        <f>IF(TRIM(sales_dataset[[#This Row],[SalesChannel]])="",sales_dataset!C113,PROPER(TRIM(sales_dataset[[#This Row],[SalesChannel]])))</f>
        <v>Store</v>
      </c>
      <c r="D112" s="1" t="s">
        <v>369</v>
      </c>
      <c r="E112" s="1" t="str">
        <f>IF(TRIM(sales_dataset[[#This Row],[CustomerName]])="",sales_dataset!F118, PROPER(TRIM(sales_dataset[[#This Row],[CustomerName]])))</f>
        <v>Priya</v>
      </c>
      <c r="F112" s="1" t="str">
        <f>IF(TRIM(sales_dataset[[#This Row],[City]])="", sales_dataset!$H$3, PROPER(TRIM(sales_dataset[[#This Row],[City]])))</f>
        <v>Bengaluru</v>
      </c>
      <c r="G112" t="str">
        <f>PROPER(sales_dataset[[#This Row],[Region cleaned]])</f>
        <v>South</v>
      </c>
      <c r="H112" t="s">
        <v>119</v>
      </c>
      <c r="I112" t="str">
        <f>IF(TRIM(sales_dataset[[#This Row],[SalespersonName]])="",I115,PROPER(TRIM(sales_dataset[[#This Row],[SalespersonName]])))</f>
        <v>Sam</v>
      </c>
      <c r="J112" s="1" t="s">
        <v>370</v>
      </c>
      <c r="K112" s="1" t="str">
        <f>PROPER(sales_dataset[[#This Row],[ProductCategory cleaned]])</f>
        <v>Home</v>
      </c>
      <c r="L112" s="1" t="str">
        <f>PROPER(sales_dataset[[#This Row],[ProductName]])</f>
        <v>Watch</v>
      </c>
      <c r="M112">
        <f>ABS(sales_dataset!W:W)</f>
        <v>1</v>
      </c>
      <c r="N112">
        <f>ABS(sales_dataset[[#This Row],[Column4]])</f>
        <v>100</v>
      </c>
      <c r="O112">
        <f t="shared" si="1"/>
        <v>100</v>
      </c>
    </row>
    <row r="113" spans="1:15" x14ac:dyDescent="0.3">
      <c r="A113" s="1" t="s">
        <v>371</v>
      </c>
      <c r="B113" s="2">
        <v>45373</v>
      </c>
      <c r="C113" s="1" t="str">
        <f>IF(TRIM(sales_dataset[[#This Row],[SalesChannel]])="",sales_dataset!C114,PROPER(TRIM(sales_dataset[[#This Row],[SalesChannel]])))</f>
        <v>Store</v>
      </c>
      <c r="D113" s="1" t="s">
        <v>290</v>
      </c>
      <c r="E113" s="1" t="str">
        <f>IF(TRIM(sales_dataset[[#This Row],[CustomerName]])="",sales_dataset!F119, PROPER(TRIM(sales_dataset[[#This Row],[CustomerName]])))</f>
        <v>Priya</v>
      </c>
      <c r="F113" s="1" t="str">
        <f>IF(TRIM(sales_dataset[[#This Row],[City]])="", sales_dataset!$H$3, PROPER(TRIM(sales_dataset[[#This Row],[City]])))</f>
        <v>Bengaluru</v>
      </c>
      <c r="G113" t="str">
        <f>PROPER(sales_dataset[[#This Row],[Region cleaned]])</f>
        <v>East</v>
      </c>
      <c r="H113" t="s">
        <v>177</v>
      </c>
      <c r="I113" t="str">
        <f>IF(TRIM(sales_dataset[[#This Row],[SalespersonName]])="",I116,PROPER(TRIM(sales_dataset[[#This Row],[SalespersonName]])))</f>
        <v>Megha</v>
      </c>
      <c r="J113" s="1" t="s">
        <v>206</v>
      </c>
      <c r="K113" s="1" t="str">
        <f>PROPER(sales_dataset[[#This Row],[ProductCategory cleaned]])</f>
        <v>Electronics</v>
      </c>
      <c r="L113" s="1" t="str">
        <f>PROPER(sales_dataset[[#This Row],[ProductName]])</f>
        <v>Laptop</v>
      </c>
      <c r="M113">
        <f>ABS(sales_dataset!W:W)</f>
        <v>2</v>
      </c>
      <c r="N113">
        <f>ABS(sales_dataset[[#This Row],[Column4]])</f>
        <v>500</v>
      </c>
      <c r="O113">
        <f t="shared" si="1"/>
        <v>1000</v>
      </c>
    </row>
    <row r="114" spans="1:15" x14ac:dyDescent="0.3">
      <c r="A114" s="1" t="s">
        <v>372</v>
      </c>
      <c r="B114" s="2">
        <v>45508</v>
      </c>
      <c r="C114" s="1" t="str">
        <f>IF(TRIM(sales_dataset[[#This Row],[SalesChannel]])="",sales_dataset!C115,PROPER(TRIM(sales_dataset[[#This Row],[SalesChannel]])))</f>
        <v>Online</v>
      </c>
      <c r="D114" s="1" t="s">
        <v>373</v>
      </c>
      <c r="E114" s="1" t="str">
        <f>IF(TRIM(sales_dataset[[#This Row],[CustomerName]])="",sales_dataset!F120, PROPER(TRIM(sales_dataset[[#This Row],[CustomerName]])))</f>
        <v>Priya</v>
      </c>
      <c r="F114" s="1" t="str">
        <f>IF(TRIM(sales_dataset[[#This Row],[City]])="", sales_dataset!$H$3, PROPER(TRIM(sales_dataset[[#This Row],[City]])))</f>
        <v>Delhi</v>
      </c>
      <c r="G114" t="str">
        <f>PROPER(sales_dataset[[#This Row],[Region cleaned]])</f>
        <v>South</v>
      </c>
      <c r="H114" t="s">
        <v>107</v>
      </c>
      <c r="I114" t="str">
        <f>IF(TRIM(sales_dataset[[#This Row],[SalespersonName]])="",I117,PROPER(TRIM(sales_dataset[[#This Row],[SalespersonName]])))</f>
        <v>Anita</v>
      </c>
      <c r="J114" s="1" t="s">
        <v>170</v>
      </c>
      <c r="K114" s="1" t="str">
        <f>PROPER(sales_dataset[[#This Row],[ProductCategory cleaned]])</f>
        <v>Electronics</v>
      </c>
      <c r="L114" s="1" t="str">
        <f>PROPER(sales_dataset[[#This Row],[ProductName]])</f>
        <v>Watch</v>
      </c>
      <c r="M114">
        <f>ABS(sales_dataset!W:W)</f>
        <v>2</v>
      </c>
      <c r="N114">
        <f>ABS(sales_dataset[[#This Row],[Column4]])</f>
        <v>2500</v>
      </c>
      <c r="O114">
        <f t="shared" si="1"/>
        <v>5000</v>
      </c>
    </row>
    <row r="115" spans="1:15" x14ac:dyDescent="0.3">
      <c r="A115" s="1" t="s">
        <v>374</v>
      </c>
      <c r="B115" s="2">
        <v>45324</v>
      </c>
      <c r="C115" s="1" t="str">
        <f>IF(TRIM(sales_dataset[[#This Row],[SalesChannel]])="",sales_dataset!C116,PROPER(TRIM(sales_dataset[[#This Row],[SalesChannel]])))</f>
        <v>Online</v>
      </c>
      <c r="D115" s="1" t="s">
        <v>375</v>
      </c>
      <c r="E115" s="1" t="str">
        <f>IF(TRIM(sales_dataset[[#This Row],[CustomerName]])="",sales_dataset!F121, PROPER(TRIM(sales_dataset[[#This Row],[CustomerName]])))</f>
        <v>John</v>
      </c>
      <c r="F115" s="1" t="str">
        <f>IF(TRIM(sales_dataset[[#This Row],[City]])="", sales_dataset!$H$3, PROPER(TRIM(sales_dataset[[#This Row],[City]])))</f>
        <v>Mumbai</v>
      </c>
      <c r="G115" t="str">
        <f>PROPER(sales_dataset[[#This Row],[Region cleaned]])</f>
        <v>South</v>
      </c>
      <c r="H115" t="s">
        <v>376</v>
      </c>
      <c r="I115" t="str">
        <f>IF(TRIM(sales_dataset[[#This Row],[SalespersonName]])="",I118,PROPER(TRIM(sales_dataset[[#This Row],[SalespersonName]])))</f>
        <v>Megha</v>
      </c>
      <c r="J115" s="1" t="s">
        <v>377</v>
      </c>
      <c r="K115" s="1" t="str">
        <f>PROPER(sales_dataset[[#This Row],[ProductCategory cleaned]])</f>
        <v>Home</v>
      </c>
      <c r="L115" s="1" t="str">
        <f>PROPER(sales_dataset[[#This Row],[ProductName]])</f>
        <v>Tv</v>
      </c>
      <c r="M115">
        <f>ABS(sales_dataset!W:W)</f>
        <v>5</v>
      </c>
      <c r="N115">
        <f>ABS(sales_dataset[[#This Row],[Column4]])</f>
        <v>2500</v>
      </c>
      <c r="O115">
        <f t="shared" si="1"/>
        <v>12500</v>
      </c>
    </row>
    <row r="116" spans="1:15" x14ac:dyDescent="0.3">
      <c r="A116" s="1" t="s">
        <v>378</v>
      </c>
      <c r="B116" s="2">
        <v>45489</v>
      </c>
      <c r="C116" s="1" t="str">
        <f>IF(TRIM(sales_dataset[[#This Row],[SalesChannel]])="",sales_dataset!C117,PROPER(TRIM(sales_dataset[[#This Row],[SalesChannel]])))</f>
        <v>Online</v>
      </c>
      <c r="D116" s="1" t="s">
        <v>379</v>
      </c>
      <c r="E116" s="1" t="str">
        <f>IF(TRIM(sales_dataset[[#This Row],[CustomerName]])="",sales_dataset!F122, PROPER(TRIM(sales_dataset[[#This Row],[CustomerName]])))</f>
        <v>David</v>
      </c>
      <c r="F116" s="1" t="str">
        <f>IF(TRIM(sales_dataset[[#This Row],[City]])="", sales_dataset!$H$3, PROPER(TRIM(sales_dataset[[#This Row],[City]])))</f>
        <v>Chennai</v>
      </c>
      <c r="G116" t="str">
        <f>PROPER(sales_dataset[[#This Row],[Region cleaned]])</f>
        <v>North</v>
      </c>
      <c r="H116" t="s">
        <v>162</v>
      </c>
      <c r="I116" t="str">
        <f>IF(TRIM(sales_dataset[[#This Row],[SalespersonName]])="",I119,PROPER(TRIM(sales_dataset[[#This Row],[SalespersonName]])))</f>
        <v>Kevin</v>
      </c>
      <c r="J116" s="1" t="s">
        <v>115</v>
      </c>
      <c r="K116" s="1" t="str">
        <f>PROPER(sales_dataset[[#This Row],[ProductCategory cleaned]])</f>
        <v>Electronics</v>
      </c>
      <c r="L116" s="1" t="str">
        <f>PROPER(sales_dataset[[#This Row],[ProductName]])</f>
        <v/>
      </c>
      <c r="M116">
        <f>ABS(sales_dataset!W:W)</f>
        <v>2</v>
      </c>
      <c r="N116">
        <f>ABS(sales_dataset[[#This Row],[Column4]])</f>
        <v>2500</v>
      </c>
      <c r="O116">
        <f t="shared" si="1"/>
        <v>5000</v>
      </c>
    </row>
    <row r="117" spans="1:15" x14ac:dyDescent="0.3">
      <c r="A117" s="1" t="s">
        <v>380</v>
      </c>
      <c r="B117" s="2">
        <v>45487</v>
      </c>
      <c r="C117" s="1" t="str">
        <f>IF(TRIM(sales_dataset[[#This Row],[SalesChannel]])="",sales_dataset!C118,PROPER(TRIM(sales_dataset[[#This Row],[SalesChannel]])))</f>
        <v>Offline</v>
      </c>
      <c r="D117" s="1" t="s">
        <v>381</v>
      </c>
      <c r="E117" s="1" t="str">
        <f>IF(TRIM(sales_dataset[[#This Row],[CustomerName]])="",sales_dataset!F123, PROPER(TRIM(sales_dataset[[#This Row],[CustomerName]])))</f>
        <v>David</v>
      </c>
      <c r="F117" s="1" t="str">
        <f>IF(TRIM(sales_dataset[[#This Row],[City]])="", sales_dataset!$H$3, PROPER(TRIM(sales_dataset[[#This Row],[City]])))</f>
        <v>Mumbai</v>
      </c>
      <c r="G117" t="str">
        <f>PROPER(sales_dataset[[#This Row],[Region cleaned]])</f>
        <v>East</v>
      </c>
      <c r="H117" t="s">
        <v>193</v>
      </c>
      <c r="I117" t="str">
        <f>IF(TRIM(sales_dataset[[#This Row],[SalespersonName]])="",I120,PROPER(TRIM(sales_dataset[[#This Row],[SalespersonName]])))</f>
        <v>Megha</v>
      </c>
      <c r="J117" s="1" t="s">
        <v>137</v>
      </c>
      <c r="K117" s="1" t="str">
        <f>PROPER(sales_dataset[[#This Row],[ProductCategory cleaned]])</f>
        <v>Electronics</v>
      </c>
      <c r="L117" s="1" t="str">
        <f>PROPER(sales_dataset[[#This Row],[ProductName]])</f>
        <v>Sofa</v>
      </c>
      <c r="M117">
        <f>ABS(sales_dataset!W:W)</f>
        <v>2</v>
      </c>
      <c r="N117">
        <f>ABS(sales_dataset[[#This Row],[Column4]])</f>
        <v>100</v>
      </c>
      <c r="O117">
        <f t="shared" si="1"/>
        <v>200</v>
      </c>
    </row>
    <row r="118" spans="1:15" x14ac:dyDescent="0.3">
      <c r="A118" s="1" t="s">
        <v>382</v>
      </c>
      <c r="B118" s="2">
        <v>45531</v>
      </c>
      <c r="C118" s="1" t="str">
        <f>IF(TRIM(sales_dataset[[#This Row],[SalesChannel]])="",sales_dataset!C119,PROPER(TRIM(sales_dataset[[#This Row],[SalesChannel]])))</f>
        <v>Store</v>
      </c>
      <c r="D118" s="1" t="s">
        <v>383</v>
      </c>
      <c r="E118" s="1" t="str">
        <f>IF(TRIM(sales_dataset[[#This Row],[CustomerName]])="",sales_dataset!F124, PROPER(TRIM(sales_dataset[[#This Row],[CustomerName]])))</f>
        <v>Priya</v>
      </c>
      <c r="F118" s="1" t="str">
        <f>IF(TRIM(sales_dataset[[#This Row],[City]])="", sales_dataset!$H$3, PROPER(TRIM(sales_dataset[[#This Row],[City]])))</f>
        <v>Mumbai</v>
      </c>
      <c r="G118" t="str">
        <f>PROPER(sales_dataset[[#This Row],[Region cleaned]])</f>
        <v>West</v>
      </c>
      <c r="H118" t="s">
        <v>318</v>
      </c>
      <c r="I118" t="str">
        <f>IF(TRIM(sales_dataset[[#This Row],[SalespersonName]])="",I121,PROPER(TRIM(sales_dataset[[#This Row],[SalespersonName]])))</f>
        <v>Kevin</v>
      </c>
      <c r="J118" s="1" t="s">
        <v>251</v>
      </c>
      <c r="K118" s="1" t="str">
        <f>PROPER(sales_dataset[[#This Row],[ProductCategory cleaned]])</f>
        <v>Electronics</v>
      </c>
      <c r="L118" s="1" t="str">
        <f>PROPER(sales_dataset[[#This Row],[ProductName]])</f>
        <v/>
      </c>
      <c r="M118">
        <f>ABS(sales_dataset!W:W)</f>
        <v>3</v>
      </c>
      <c r="N118">
        <f>ABS(sales_dataset[[#This Row],[Column4]])</f>
        <v>2000</v>
      </c>
      <c r="O118">
        <f t="shared" si="1"/>
        <v>6000</v>
      </c>
    </row>
    <row r="119" spans="1:15" x14ac:dyDescent="0.3">
      <c r="A119" s="1" t="s">
        <v>384</v>
      </c>
      <c r="B119" s="2">
        <v>45562</v>
      </c>
      <c r="C119" s="1" t="str">
        <f>IF(TRIM(sales_dataset[[#This Row],[SalesChannel]])="",sales_dataset!C120,PROPER(TRIM(sales_dataset[[#This Row],[SalesChannel]])))</f>
        <v>Store</v>
      </c>
      <c r="D119" s="1" t="s">
        <v>385</v>
      </c>
      <c r="E119" s="1" t="str">
        <f>IF(TRIM(sales_dataset[[#This Row],[CustomerName]])="",sales_dataset!F125, PROPER(TRIM(sales_dataset[[#This Row],[CustomerName]])))</f>
        <v>Sara</v>
      </c>
      <c r="F119" s="1" t="str">
        <f>IF(TRIM(sales_dataset[[#This Row],[City]])="", sales_dataset!$H$3, PROPER(TRIM(sales_dataset[[#This Row],[City]])))</f>
        <v>Delhi</v>
      </c>
      <c r="G119" t="str">
        <f>PROPER(sales_dataset[[#This Row],[Region cleaned]])</f>
        <v/>
      </c>
      <c r="H119" t="s">
        <v>152</v>
      </c>
      <c r="I119" t="str">
        <f>IF(TRIM(sales_dataset[[#This Row],[SalespersonName]])="",I122,PROPER(TRIM(sales_dataset[[#This Row],[SalespersonName]])))</f>
        <v>Kevin</v>
      </c>
      <c r="J119" s="1" t="s">
        <v>94</v>
      </c>
      <c r="K119" s="1" t="str">
        <f>PROPER(sales_dataset[[#This Row],[ProductCategory cleaned]])</f>
        <v>Electronics</v>
      </c>
      <c r="L119" s="1" t="str">
        <f>PROPER(sales_dataset[[#This Row],[ProductName]])</f>
        <v>Watch</v>
      </c>
      <c r="M119">
        <f>ABS(sales_dataset!W:W)</f>
        <v>1</v>
      </c>
      <c r="N119">
        <f>ABS(sales_dataset[[#This Row],[Column4]])</f>
        <v>500</v>
      </c>
      <c r="O119">
        <f t="shared" si="1"/>
        <v>500</v>
      </c>
    </row>
    <row r="120" spans="1:15" x14ac:dyDescent="0.3">
      <c r="A120" s="1" t="s">
        <v>386</v>
      </c>
      <c r="B120" s="2">
        <v>45420</v>
      </c>
      <c r="C120" s="1" t="str">
        <f>IF(TRIM(sales_dataset[[#This Row],[SalesChannel]])="",sales_dataset!C121,PROPER(TRIM(sales_dataset[[#This Row],[SalesChannel]])))</f>
        <v>Online</v>
      </c>
      <c r="D120" s="1" t="s">
        <v>387</v>
      </c>
      <c r="E120" s="1" t="str">
        <f>IF(TRIM(sales_dataset[[#This Row],[CustomerName]])="",sales_dataset!F126, PROPER(TRIM(sales_dataset[[#This Row],[CustomerName]])))</f>
        <v>Priya</v>
      </c>
      <c r="F120" s="1" t="str">
        <f>IF(TRIM(sales_dataset[[#This Row],[City]])="", sales_dataset!$H$3, PROPER(TRIM(sales_dataset[[#This Row],[City]])))</f>
        <v>Mumbai</v>
      </c>
      <c r="G120" t="str">
        <f>PROPER(sales_dataset[[#This Row],[Region cleaned]])</f>
        <v>South</v>
      </c>
      <c r="H120" t="s">
        <v>152</v>
      </c>
      <c r="I120" t="str">
        <f>IF(TRIM(sales_dataset[[#This Row],[SalespersonName]])="",I123,PROPER(TRIM(sales_dataset[[#This Row],[SalespersonName]])))</f>
        <v>Raj</v>
      </c>
      <c r="J120" s="1" t="s">
        <v>340</v>
      </c>
      <c r="K120" s="1" t="str">
        <f>PROPER(sales_dataset[[#This Row],[ProductCategory cleaned]])</f>
        <v>Electronics</v>
      </c>
      <c r="L120" s="1" t="str">
        <f>PROPER(sales_dataset[[#This Row],[ProductName]])</f>
        <v>Sofa</v>
      </c>
      <c r="M120">
        <f>ABS(sales_dataset!W:W)</f>
        <v>5</v>
      </c>
      <c r="N120">
        <f>ABS(sales_dataset[[#This Row],[Column4]])</f>
        <v>500</v>
      </c>
      <c r="O120">
        <f t="shared" si="1"/>
        <v>2500</v>
      </c>
    </row>
    <row r="121" spans="1:15" x14ac:dyDescent="0.3">
      <c r="A121" s="1" t="s">
        <v>388</v>
      </c>
      <c r="B121" s="2">
        <v>45575</v>
      </c>
      <c r="C121" s="1" t="str">
        <f>IF(TRIM(sales_dataset[[#This Row],[SalesChannel]])="",sales_dataset!C122,PROPER(TRIM(sales_dataset[[#This Row],[SalesChannel]])))</f>
        <v>Online</v>
      </c>
      <c r="D121" s="1" t="s">
        <v>389</v>
      </c>
      <c r="E121" s="1" t="str">
        <f>IF(TRIM(sales_dataset[[#This Row],[CustomerName]])="",sales_dataset!F127, PROPER(TRIM(sales_dataset[[#This Row],[CustomerName]])))</f>
        <v>John</v>
      </c>
      <c r="F121" s="1" t="str">
        <f>IF(TRIM(sales_dataset[[#This Row],[City]])="", sales_dataset!$H$3, PROPER(TRIM(sales_dataset[[#This Row],[City]])))</f>
        <v>Mumbai</v>
      </c>
      <c r="G121" t="str">
        <f>PROPER(sales_dataset[[#This Row],[Region cleaned]])</f>
        <v>West</v>
      </c>
      <c r="H121" t="s">
        <v>224</v>
      </c>
      <c r="I121" t="str">
        <f>IF(TRIM(sales_dataset[[#This Row],[SalespersonName]])="",I124,PROPER(TRIM(sales_dataset[[#This Row],[SalespersonName]])))</f>
        <v>Anita</v>
      </c>
      <c r="J121" s="1" t="s">
        <v>390</v>
      </c>
      <c r="K121" s="1" t="str">
        <f>PROPER(sales_dataset[[#This Row],[ProductCategory cleaned]])</f>
        <v>Home</v>
      </c>
      <c r="L121" s="1" t="str">
        <f>PROPER(sales_dataset[[#This Row],[ProductName]])</f>
        <v>Watch</v>
      </c>
      <c r="M121">
        <f>ABS(sales_dataset!W:W)</f>
        <v>5</v>
      </c>
      <c r="N121">
        <f>ABS(sales_dataset[[#This Row],[Column4]])</f>
        <v>500</v>
      </c>
      <c r="O121">
        <f t="shared" si="1"/>
        <v>2500</v>
      </c>
    </row>
    <row r="122" spans="1:15" x14ac:dyDescent="0.3">
      <c r="A122" s="1" t="s">
        <v>391</v>
      </c>
      <c r="B122" s="2">
        <v>45297</v>
      </c>
      <c r="C122" s="1" t="str">
        <f>IF(TRIM(sales_dataset[[#This Row],[SalesChannel]])="",sales_dataset!C123,PROPER(TRIM(sales_dataset[[#This Row],[SalesChannel]])))</f>
        <v>Online</v>
      </c>
      <c r="D122" s="1" t="s">
        <v>381</v>
      </c>
      <c r="E122" s="1" t="str">
        <f>IF(TRIM(sales_dataset[[#This Row],[CustomerName]])="",sales_dataset!F128, PROPER(TRIM(sales_dataset[[#This Row],[CustomerName]])))</f>
        <v>Sara</v>
      </c>
      <c r="F122" s="1" t="str">
        <f>IF(TRIM(sales_dataset[[#This Row],[City]])="", sales_dataset!$H$3, PROPER(TRIM(sales_dataset[[#This Row],[City]])))</f>
        <v>Chennai</v>
      </c>
      <c r="G122" t="str">
        <f>PROPER(sales_dataset[[#This Row],[Region cleaned]])</f>
        <v>West</v>
      </c>
      <c r="H122" t="s">
        <v>148</v>
      </c>
      <c r="I122" t="str">
        <f>IF(TRIM(sales_dataset[[#This Row],[SalespersonName]])="",I125,PROPER(TRIM(sales_dataset[[#This Row],[SalespersonName]])))</f>
        <v>Kevin</v>
      </c>
      <c r="J122" s="1" t="s">
        <v>351</v>
      </c>
      <c r="K122" s="1" t="str">
        <f>PROPER(sales_dataset[[#This Row],[ProductCategory cleaned]])</f>
        <v>Electronics</v>
      </c>
      <c r="L122" s="1" t="str">
        <f>PROPER(sales_dataset[[#This Row],[ProductName]])</f>
        <v>Shirt</v>
      </c>
      <c r="M122">
        <f>ABS(sales_dataset!W:W)</f>
        <v>2</v>
      </c>
      <c r="N122">
        <f>ABS(sales_dataset[[#This Row],[Column4]])</f>
        <v>100</v>
      </c>
      <c r="O122">
        <f t="shared" si="1"/>
        <v>200</v>
      </c>
    </row>
    <row r="123" spans="1:15" x14ac:dyDescent="0.3">
      <c r="A123" s="1" t="s">
        <v>392</v>
      </c>
      <c r="B123" s="2">
        <v>45350</v>
      </c>
      <c r="C123" s="1" t="str">
        <f>IF(TRIM(sales_dataset[[#This Row],[SalesChannel]])="",sales_dataset!C124,PROPER(TRIM(sales_dataset[[#This Row],[SalesChannel]])))</f>
        <v>Offline</v>
      </c>
      <c r="D123" s="1" t="s">
        <v>393</v>
      </c>
      <c r="E123" s="1" t="str">
        <f>IF(TRIM(sales_dataset[[#This Row],[CustomerName]])="",sales_dataset!F129, PROPER(TRIM(sales_dataset[[#This Row],[CustomerName]])))</f>
        <v>David</v>
      </c>
      <c r="F123" s="1" t="str">
        <f>IF(TRIM(sales_dataset[[#This Row],[City]])="", sales_dataset!$H$3, PROPER(TRIM(sales_dataset[[#This Row],[City]])))</f>
        <v>Mumbai</v>
      </c>
      <c r="G123" t="str">
        <f>PROPER(sales_dataset[[#This Row],[Region cleaned]])</f>
        <v>West</v>
      </c>
      <c r="H123" t="s">
        <v>343</v>
      </c>
      <c r="I123" t="str">
        <f>IF(TRIM(sales_dataset[[#This Row],[SalespersonName]])="",I126,PROPER(TRIM(sales_dataset[[#This Row],[SalespersonName]])))</f>
        <v>Raj</v>
      </c>
      <c r="J123" s="1" t="s">
        <v>245</v>
      </c>
      <c r="K123" s="1" t="str">
        <f>PROPER(sales_dataset[[#This Row],[ProductCategory cleaned]])</f>
        <v>Electronics</v>
      </c>
      <c r="L123" s="1" t="str">
        <f>PROPER(sales_dataset[[#This Row],[ProductName]])</f>
        <v/>
      </c>
      <c r="M123">
        <f>ABS(sales_dataset!W:W)</f>
        <v>1</v>
      </c>
      <c r="N123">
        <f>ABS(sales_dataset[[#This Row],[Column4]])</f>
        <v>2000</v>
      </c>
      <c r="O123">
        <f t="shared" si="1"/>
        <v>2000</v>
      </c>
    </row>
    <row r="124" spans="1:15" x14ac:dyDescent="0.3">
      <c r="A124" s="1" t="s">
        <v>394</v>
      </c>
      <c r="B124" s="2">
        <v>45566</v>
      </c>
      <c r="C124" s="1" t="str">
        <f>IF(TRIM(sales_dataset[[#This Row],[SalesChannel]])="",sales_dataset!C125,PROPER(TRIM(sales_dataset[[#This Row],[SalesChannel]])))</f>
        <v>Store</v>
      </c>
      <c r="D124" s="1" t="s">
        <v>395</v>
      </c>
      <c r="E124" s="1" t="str">
        <f>IF(TRIM(sales_dataset[[#This Row],[CustomerName]])="",sales_dataset!F130, PROPER(TRIM(sales_dataset[[#This Row],[CustomerName]])))</f>
        <v>Sara</v>
      </c>
      <c r="F124" s="1" t="str">
        <f>IF(TRIM(sales_dataset[[#This Row],[City]])="", sales_dataset!$H$3, PROPER(TRIM(sales_dataset[[#This Row],[City]])))</f>
        <v>Mumbai</v>
      </c>
      <c r="G124" t="str">
        <f>PROPER(sales_dataset[[#This Row],[Region cleaned]])</f>
        <v>North</v>
      </c>
      <c r="H124" t="s">
        <v>125</v>
      </c>
      <c r="I124" t="str">
        <f>IF(TRIM(sales_dataset[[#This Row],[SalespersonName]])="",I127,PROPER(TRIM(sales_dataset[[#This Row],[SalespersonName]])))</f>
        <v>Sam</v>
      </c>
      <c r="J124" s="1" t="s">
        <v>221</v>
      </c>
      <c r="K124" s="1" t="str">
        <f>PROPER(sales_dataset[[#This Row],[ProductCategory cleaned]])</f>
        <v>Clothing</v>
      </c>
      <c r="L124" s="1" t="str">
        <f>PROPER(sales_dataset[[#This Row],[ProductName]])</f>
        <v>Sofa</v>
      </c>
      <c r="M124">
        <f>ABS(sales_dataset!W:W)</f>
        <v>3</v>
      </c>
      <c r="N124">
        <f>ABS(sales_dataset[[#This Row],[Column4]])</f>
        <v>1500</v>
      </c>
      <c r="O124">
        <f t="shared" si="1"/>
        <v>4500</v>
      </c>
    </row>
    <row r="125" spans="1:15" x14ac:dyDescent="0.3">
      <c r="A125" s="1" t="s">
        <v>396</v>
      </c>
      <c r="B125" s="2">
        <v>45428</v>
      </c>
      <c r="C125" s="1" t="str">
        <f>IF(TRIM(sales_dataset[[#This Row],[SalesChannel]])="",sales_dataset!C126,PROPER(TRIM(sales_dataset[[#This Row],[SalesChannel]])))</f>
        <v>Store</v>
      </c>
      <c r="D125" s="1" t="s">
        <v>165</v>
      </c>
      <c r="E125" s="1" t="str">
        <f>IF(TRIM(sales_dataset[[#This Row],[CustomerName]])="",sales_dataset!F131, PROPER(TRIM(sales_dataset[[#This Row],[CustomerName]])))</f>
        <v>Priya</v>
      </c>
      <c r="F125" s="1" t="str">
        <f>IF(TRIM(sales_dataset[[#This Row],[City]])="", sales_dataset!$H$3, PROPER(TRIM(sales_dataset[[#This Row],[City]])))</f>
        <v>Mumbai</v>
      </c>
      <c r="G125" t="str">
        <f>PROPER(sales_dataset[[#This Row],[Region cleaned]])</f>
        <v>North</v>
      </c>
      <c r="H125" t="s">
        <v>162</v>
      </c>
      <c r="I125" t="str">
        <f>IF(TRIM(sales_dataset[[#This Row],[SalespersonName]])="",I128,PROPER(TRIM(sales_dataset[[#This Row],[SalespersonName]])))</f>
        <v>Kevin</v>
      </c>
      <c r="J125" s="1" t="s">
        <v>123</v>
      </c>
      <c r="K125" s="1" t="str">
        <f>PROPER(sales_dataset[[#This Row],[ProductCategory cleaned]])</f>
        <v>Clothing</v>
      </c>
      <c r="L125" s="1" t="str">
        <f>PROPER(sales_dataset[[#This Row],[ProductName]])</f>
        <v>Watch</v>
      </c>
      <c r="M125">
        <f>ABS(sales_dataset!W:W)</f>
        <v>3</v>
      </c>
      <c r="N125">
        <f>ABS(sales_dataset[[#This Row],[Column4]])</f>
        <v>1500</v>
      </c>
      <c r="O125">
        <f t="shared" si="1"/>
        <v>4500</v>
      </c>
    </row>
    <row r="126" spans="1:15" x14ac:dyDescent="0.3">
      <c r="A126" s="1" t="s">
        <v>397</v>
      </c>
      <c r="B126" s="2">
        <v>45466</v>
      </c>
      <c r="C126" s="1" t="str">
        <f>IF(TRIM(sales_dataset[[#This Row],[SalesChannel]])="",sales_dataset!C127,PROPER(TRIM(sales_dataset[[#This Row],[SalesChannel]])))</f>
        <v>Online</v>
      </c>
      <c r="D126" s="1" t="s">
        <v>122</v>
      </c>
      <c r="E126" s="1" t="str">
        <f>IF(TRIM(sales_dataset[[#This Row],[CustomerName]])="",sales_dataset!F132, PROPER(TRIM(sales_dataset[[#This Row],[CustomerName]])))</f>
        <v>Priya</v>
      </c>
      <c r="F126" s="1" t="str">
        <f>IF(TRIM(sales_dataset[[#This Row],[City]])="", sales_dataset!$H$3, PROPER(TRIM(sales_dataset[[#This Row],[City]])))</f>
        <v>Bengaluru</v>
      </c>
      <c r="G126" t="str">
        <f>PROPER(sales_dataset[[#This Row],[Region cleaned]])</f>
        <v>North</v>
      </c>
      <c r="H126" t="s">
        <v>218</v>
      </c>
      <c r="I126" t="str">
        <f>IF(TRIM(sales_dataset[[#This Row],[SalespersonName]])="",I129,PROPER(TRIM(sales_dataset[[#This Row],[SalespersonName]])))</f>
        <v>Megha</v>
      </c>
      <c r="J126" s="1" t="s">
        <v>242</v>
      </c>
      <c r="K126" s="1" t="str">
        <f>PROPER(sales_dataset[[#This Row],[ProductCategory cleaned]])</f>
        <v>Home</v>
      </c>
      <c r="L126" s="1" t="str">
        <f>PROPER(sales_dataset[[#This Row],[ProductName]])</f>
        <v>Laptop</v>
      </c>
      <c r="M126">
        <f>ABS(sales_dataset!W:W)</f>
        <v>1</v>
      </c>
      <c r="N126">
        <f>ABS(sales_dataset[[#This Row],[Column4]])</f>
        <v>2500</v>
      </c>
      <c r="O126">
        <f t="shared" si="1"/>
        <v>2500</v>
      </c>
    </row>
    <row r="127" spans="1:15" x14ac:dyDescent="0.3">
      <c r="A127" s="1" t="s">
        <v>398</v>
      </c>
      <c r="B127" s="2">
        <v>45349</v>
      </c>
      <c r="C127" s="1" t="str">
        <f>IF(TRIM(sales_dataset[[#This Row],[SalesChannel]])="",sales_dataset!C128,PROPER(TRIM(sales_dataset[[#This Row],[SalesChannel]])))</f>
        <v>Online</v>
      </c>
      <c r="D127" s="1" t="s">
        <v>97</v>
      </c>
      <c r="E127" s="1" t="str">
        <f>IF(TRIM(sales_dataset[[#This Row],[CustomerName]])="",sales_dataset!F133, PROPER(TRIM(sales_dataset[[#This Row],[CustomerName]])))</f>
        <v>David</v>
      </c>
      <c r="F127" s="1" t="str">
        <f>IF(TRIM(sales_dataset[[#This Row],[City]])="", sales_dataset!$H$3, PROPER(TRIM(sales_dataset[[#This Row],[City]])))</f>
        <v>Delhi</v>
      </c>
      <c r="G127" t="str">
        <f>PROPER(sales_dataset[[#This Row],[Region cleaned]])</f>
        <v>North</v>
      </c>
      <c r="H127" t="s">
        <v>169</v>
      </c>
      <c r="I127" t="str">
        <f>IF(TRIM(sales_dataset[[#This Row],[SalespersonName]])="",I130,PROPER(TRIM(sales_dataset[[#This Row],[SalespersonName]])))</f>
        <v>Raj</v>
      </c>
      <c r="J127" s="1" t="s">
        <v>399</v>
      </c>
      <c r="K127" s="1" t="str">
        <f>PROPER(sales_dataset[[#This Row],[ProductCategory cleaned]])</f>
        <v>Clothing</v>
      </c>
      <c r="L127" s="1" t="str">
        <f>PROPER(sales_dataset[[#This Row],[ProductName]])</f>
        <v>Sofa</v>
      </c>
      <c r="M127">
        <f>ABS(sales_dataset!W:W)</f>
        <v>1</v>
      </c>
      <c r="N127">
        <f>ABS(sales_dataset[[#This Row],[Column4]])</f>
        <v>1500</v>
      </c>
      <c r="O127">
        <f t="shared" si="1"/>
        <v>1500</v>
      </c>
    </row>
    <row r="128" spans="1:15" x14ac:dyDescent="0.3">
      <c r="A128" s="1" t="s">
        <v>400</v>
      </c>
      <c r="B128" s="2">
        <v>45442</v>
      </c>
      <c r="C128" s="1" t="str">
        <f>IF(TRIM(sales_dataset[[#This Row],[SalesChannel]])="",sales_dataset!C129,PROPER(TRIM(sales_dataset[[#This Row],[SalesChannel]])))</f>
        <v>Online</v>
      </c>
      <c r="D128" s="1" t="s">
        <v>401</v>
      </c>
      <c r="E128" s="1" t="str">
        <f>IF(TRIM(sales_dataset[[#This Row],[CustomerName]])="",sales_dataset!F134, PROPER(TRIM(sales_dataset[[#This Row],[CustomerName]])))</f>
        <v>John</v>
      </c>
      <c r="F128" s="1" t="str">
        <f>IF(TRIM(sales_dataset[[#This Row],[City]])="", sales_dataset!$H$3, PROPER(TRIM(sales_dataset[[#This Row],[City]])))</f>
        <v>Delhi</v>
      </c>
      <c r="G128" t="str">
        <f>PROPER(sales_dataset[[#This Row],[Region cleaned]])</f>
        <v>East</v>
      </c>
      <c r="H128" t="s">
        <v>247</v>
      </c>
      <c r="I128" t="str">
        <f>IF(TRIM(sales_dataset[[#This Row],[SalespersonName]])="",I131,PROPER(TRIM(sales_dataset[[#This Row],[SalespersonName]])))</f>
        <v>Kevin</v>
      </c>
      <c r="J128" s="1" t="s">
        <v>228</v>
      </c>
      <c r="K128" s="1" t="str">
        <f>PROPER(sales_dataset[[#This Row],[ProductCategory cleaned]])</f>
        <v>Home</v>
      </c>
      <c r="L128" s="1" t="str">
        <f>PROPER(sales_dataset[[#This Row],[ProductName]])</f>
        <v>Shirt</v>
      </c>
      <c r="M128">
        <f>ABS(sales_dataset!W:W)</f>
        <v>1</v>
      </c>
      <c r="N128">
        <f>ABS(sales_dataset[[#This Row],[Column4]])</f>
        <v>100</v>
      </c>
      <c r="O128">
        <f t="shared" si="1"/>
        <v>100</v>
      </c>
    </row>
    <row r="129" spans="1:15" x14ac:dyDescent="0.3">
      <c r="A129" s="1" t="s">
        <v>402</v>
      </c>
      <c r="B129" s="2">
        <v>45514</v>
      </c>
      <c r="C129" s="1" t="str">
        <f>IF(TRIM(sales_dataset[[#This Row],[SalesChannel]])="",sales_dataset!C130,PROPER(TRIM(sales_dataset[[#This Row],[SalesChannel]])))</f>
        <v>Offline</v>
      </c>
      <c r="D129" s="1" t="s">
        <v>102</v>
      </c>
      <c r="E129" s="1" t="str">
        <f>IF(TRIM(sales_dataset[[#This Row],[CustomerName]])="",sales_dataset!F135, PROPER(TRIM(sales_dataset[[#This Row],[CustomerName]])))</f>
        <v>David</v>
      </c>
      <c r="F129" s="1" t="str">
        <f>IF(TRIM(sales_dataset[[#This Row],[City]])="", sales_dataset!$H$3, PROPER(TRIM(sales_dataset[[#This Row],[City]])))</f>
        <v>Hyderabad</v>
      </c>
      <c r="G129" t="str">
        <f>PROPER(sales_dataset[[#This Row],[Region cleaned]])</f>
        <v>South</v>
      </c>
      <c r="H129" t="s">
        <v>318</v>
      </c>
      <c r="I129" t="str">
        <f>IF(TRIM(sales_dataset[[#This Row],[SalespersonName]])="",I132,PROPER(TRIM(sales_dataset[[#This Row],[SalespersonName]])))</f>
        <v>Anita</v>
      </c>
      <c r="J129" s="1" t="s">
        <v>293</v>
      </c>
      <c r="K129" s="1" t="str">
        <f>PROPER(sales_dataset[[#This Row],[ProductCategory cleaned]])</f>
        <v>Electronics</v>
      </c>
      <c r="L129" s="1" t="str">
        <f>PROPER(sales_dataset[[#This Row],[ProductName]])</f>
        <v>Tv</v>
      </c>
      <c r="M129">
        <f>ABS(sales_dataset!W:W)</f>
        <v>4</v>
      </c>
      <c r="N129">
        <f>ABS(sales_dataset[[#This Row],[Column4]])</f>
        <v>100</v>
      </c>
      <c r="O129">
        <f t="shared" si="1"/>
        <v>400</v>
      </c>
    </row>
    <row r="130" spans="1:15" x14ac:dyDescent="0.3">
      <c r="A130" s="1" t="s">
        <v>403</v>
      </c>
      <c r="B130" s="2">
        <v>45372</v>
      </c>
      <c r="C130" s="1" t="str">
        <f>IF(TRIM(sales_dataset[[#This Row],[SalesChannel]])="",sales_dataset!C131,PROPER(TRIM(sales_dataset[[#This Row],[SalesChannel]])))</f>
        <v>Store</v>
      </c>
      <c r="D130" s="1" t="s">
        <v>189</v>
      </c>
      <c r="E130" s="1" t="str">
        <f>IF(TRIM(sales_dataset[[#This Row],[CustomerName]])="",sales_dataset!F136, PROPER(TRIM(sales_dataset[[#This Row],[CustomerName]])))</f>
        <v>Sara</v>
      </c>
      <c r="F130" s="1" t="str">
        <f>IF(TRIM(sales_dataset[[#This Row],[City]])="", sales_dataset!$H$3, PROPER(TRIM(sales_dataset[[#This Row],[City]])))</f>
        <v>Mumbai</v>
      </c>
      <c r="G130" t="str">
        <f>PROPER(sales_dataset[[#This Row],[Region cleaned]])</f>
        <v>South</v>
      </c>
      <c r="H130" t="s">
        <v>215</v>
      </c>
      <c r="I130" t="str">
        <f>IF(TRIM(sales_dataset[[#This Row],[SalespersonName]])="",I133,PROPER(TRIM(sales_dataset[[#This Row],[SalespersonName]])))</f>
        <v>Raj</v>
      </c>
      <c r="J130" s="1" t="s">
        <v>404</v>
      </c>
      <c r="K130" s="1" t="str">
        <f>PROPER(sales_dataset[[#This Row],[ProductCategory cleaned]])</f>
        <v>Home</v>
      </c>
      <c r="L130" s="1" t="str">
        <f>PROPER(sales_dataset[[#This Row],[ProductName]])</f>
        <v>Sofa</v>
      </c>
      <c r="M130">
        <f>ABS(sales_dataset!W:W)</f>
        <v>5</v>
      </c>
      <c r="N130">
        <f>ABS(sales_dataset[[#This Row],[Column4]])</f>
        <v>100</v>
      </c>
      <c r="O130">
        <f t="shared" si="1"/>
        <v>500</v>
      </c>
    </row>
    <row r="131" spans="1:15" x14ac:dyDescent="0.3">
      <c r="A131" s="1" t="s">
        <v>405</v>
      </c>
      <c r="B131" s="2">
        <v>45524</v>
      </c>
      <c r="C131" s="1" t="str">
        <f>IF(TRIM(sales_dataset[[#This Row],[SalesChannel]])="",sales_dataset!C132,PROPER(TRIM(sales_dataset[[#This Row],[SalesChannel]])))</f>
        <v>Store</v>
      </c>
      <c r="D131" s="1" t="s">
        <v>317</v>
      </c>
      <c r="E131" s="1" t="str">
        <f>IF(TRIM(sales_dataset[[#This Row],[CustomerName]])="",sales_dataset!F137, PROPER(TRIM(sales_dataset[[#This Row],[CustomerName]])))</f>
        <v>Sara</v>
      </c>
      <c r="F131" s="1" t="str">
        <f>IF(TRIM(sales_dataset[[#This Row],[City]])="", sales_dataset!$H$3, PROPER(TRIM(sales_dataset[[#This Row],[City]])))</f>
        <v>Hyderabad</v>
      </c>
      <c r="G131" t="str">
        <f>PROPER(sales_dataset[[#This Row],[Region cleaned]])</f>
        <v>North</v>
      </c>
      <c r="H131" t="s">
        <v>61</v>
      </c>
      <c r="I131" t="str">
        <f>IF(TRIM(sales_dataset[[#This Row],[SalespersonName]])="",I134,PROPER(TRIM(sales_dataset[[#This Row],[SalespersonName]])))</f>
        <v>Sam</v>
      </c>
      <c r="J131" s="1" t="s">
        <v>75</v>
      </c>
      <c r="K131" s="1" t="str">
        <f>PROPER(sales_dataset[[#This Row],[ProductCategory cleaned]])</f>
        <v>Electronics</v>
      </c>
      <c r="L131" s="1" t="str">
        <f>PROPER(sales_dataset[[#This Row],[ProductName]])</f>
        <v/>
      </c>
      <c r="M131">
        <f>ABS(sales_dataset!W:W)</f>
        <v>3</v>
      </c>
      <c r="N131">
        <f>ABS(sales_dataset[[#This Row],[Column4]])</f>
        <v>100</v>
      </c>
      <c r="O131">
        <f t="shared" ref="O131:O194" si="2">M131*N131</f>
        <v>300</v>
      </c>
    </row>
    <row r="132" spans="1:15" x14ac:dyDescent="0.3">
      <c r="A132" s="1" t="s">
        <v>406</v>
      </c>
      <c r="B132" s="2">
        <v>45293</v>
      </c>
      <c r="C132" s="1" t="str">
        <f>IF(TRIM(sales_dataset[[#This Row],[SalesChannel]])="",sales_dataset!C133,PROPER(TRIM(sales_dataset[[#This Row],[SalesChannel]])))</f>
        <v>Online</v>
      </c>
      <c r="D132" s="1" t="s">
        <v>407</v>
      </c>
      <c r="E132" s="1" t="str">
        <f>IF(TRIM(sales_dataset[[#This Row],[CustomerName]])="",sales_dataset!F138, PROPER(TRIM(sales_dataset[[#This Row],[CustomerName]])))</f>
        <v>Priya</v>
      </c>
      <c r="F132" s="1" t="str">
        <f>IF(TRIM(sales_dataset[[#This Row],[City]])="", sales_dataset!$H$3, PROPER(TRIM(sales_dataset[[#This Row],[City]])))</f>
        <v>Hyderabad</v>
      </c>
      <c r="G132" t="str">
        <f>PROPER(sales_dataset[[#This Row],[Region cleaned]])</f>
        <v>North</v>
      </c>
      <c r="H132" t="s">
        <v>111</v>
      </c>
      <c r="I132" t="str">
        <f>IF(TRIM(sales_dataset[[#This Row],[SalespersonName]])="",I135,PROPER(TRIM(sales_dataset[[#This Row],[SalespersonName]])))</f>
        <v>Sam</v>
      </c>
      <c r="J132" s="1" t="s">
        <v>408</v>
      </c>
      <c r="K132" s="1" t="str">
        <f>PROPER(sales_dataset[[#This Row],[ProductCategory cleaned]])</f>
        <v>Clothing</v>
      </c>
      <c r="L132" s="1" t="str">
        <f>PROPER(sales_dataset[[#This Row],[ProductName]])</f>
        <v>Shirt</v>
      </c>
      <c r="M132">
        <f>ABS(sales_dataset!W:W)</f>
        <v>1</v>
      </c>
      <c r="N132">
        <f>ABS(sales_dataset[[#This Row],[Column4]])</f>
        <v>2000</v>
      </c>
      <c r="O132">
        <f t="shared" si="2"/>
        <v>2000</v>
      </c>
    </row>
    <row r="133" spans="1:15" x14ac:dyDescent="0.3">
      <c r="A133" s="1" t="s">
        <v>409</v>
      </c>
      <c r="B133" s="2">
        <v>45426</v>
      </c>
      <c r="C133" s="1" t="str">
        <f>IF(TRIM(sales_dataset[[#This Row],[SalesChannel]])="",sales_dataset!C134,PROPER(TRIM(sales_dataset[[#This Row],[SalesChannel]])))</f>
        <v>Online</v>
      </c>
      <c r="D133" s="1" t="s">
        <v>273</v>
      </c>
      <c r="E133" s="1" t="str">
        <f>IF(TRIM(sales_dataset[[#This Row],[CustomerName]])="",sales_dataset!F139, PROPER(TRIM(sales_dataset[[#This Row],[CustomerName]])))</f>
        <v>John</v>
      </c>
      <c r="F133" s="1" t="str">
        <f>IF(TRIM(sales_dataset[[#This Row],[City]])="", sales_dataset!$H$3, PROPER(TRIM(sales_dataset[[#This Row],[City]])))</f>
        <v>Hyderabad</v>
      </c>
      <c r="G133" t="str">
        <f>PROPER(sales_dataset[[#This Row],[Region cleaned]])</f>
        <v>North</v>
      </c>
      <c r="H133" t="s">
        <v>193</v>
      </c>
      <c r="I133" t="str">
        <f>IF(TRIM(sales_dataset[[#This Row],[SalespersonName]])="",I136,PROPER(TRIM(sales_dataset[[#This Row],[SalespersonName]])))</f>
        <v>Raj</v>
      </c>
      <c r="J133" s="1" t="s">
        <v>268</v>
      </c>
      <c r="K133" s="1" t="str">
        <f>PROPER(sales_dataset[[#This Row],[ProductCategory cleaned]])</f>
        <v>Home</v>
      </c>
      <c r="L133" s="1" t="str">
        <f>PROPER(sales_dataset[[#This Row],[ProductName]])</f>
        <v>Tv</v>
      </c>
      <c r="M133">
        <f>ABS(sales_dataset!W:W)</f>
        <v>5</v>
      </c>
      <c r="N133">
        <f>ABS(sales_dataset[[#This Row],[Column4]])</f>
        <v>100</v>
      </c>
      <c r="O133">
        <f t="shared" si="2"/>
        <v>500</v>
      </c>
    </row>
    <row r="134" spans="1:15" x14ac:dyDescent="0.3">
      <c r="A134" s="1" t="s">
        <v>410</v>
      </c>
      <c r="B134" s="2">
        <v>45548</v>
      </c>
      <c r="C134" s="1" t="str">
        <f>IF(TRIM(sales_dataset[[#This Row],[SalesChannel]])="",sales_dataset!C135,PROPER(TRIM(sales_dataset[[#This Row],[SalesChannel]])))</f>
        <v>Online</v>
      </c>
      <c r="D134" s="1" t="s">
        <v>117</v>
      </c>
      <c r="E134" s="1" t="str">
        <f>IF(TRIM(sales_dataset[[#This Row],[CustomerName]])="",sales_dataset!F140, PROPER(TRIM(sales_dataset[[#This Row],[CustomerName]])))</f>
        <v>John</v>
      </c>
      <c r="F134" s="1" t="str">
        <f>IF(TRIM(sales_dataset[[#This Row],[City]])="", sales_dataset!$H$3, PROPER(TRIM(sales_dataset[[#This Row],[City]])))</f>
        <v>Bengaluru</v>
      </c>
      <c r="G134" t="str">
        <f>PROPER(sales_dataset[[#This Row],[Region cleaned]])</f>
        <v>North</v>
      </c>
      <c r="H134" t="s">
        <v>162</v>
      </c>
      <c r="I134" t="str">
        <f>IF(TRIM(sales_dataset[[#This Row],[SalespersonName]])="",I137,PROPER(TRIM(sales_dataset[[#This Row],[SalespersonName]])))</f>
        <v>Raj</v>
      </c>
      <c r="J134" s="1" t="s">
        <v>296</v>
      </c>
      <c r="K134" s="1" t="str">
        <f>PROPER(sales_dataset[[#This Row],[ProductCategory cleaned]])</f>
        <v>Electronics</v>
      </c>
      <c r="L134" s="1" t="str">
        <f>PROPER(sales_dataset[[#This Row],[ProductName]])</f>
        <v>Watch</v>
      </c>
      <c r="M134">
        <f>ABS(sales_dataset!W:W)</f>
        <v>5</v>
      </c>
      <c r="N134">
        <f>ABS(sales_dataset[[#This Row],[Column4]])</f>
        <v>0</v>
      </c>
      <c r="O134">
        <f t="shared" si="2"/>
        <v>0</v>
      </c>
    </row>
    <row r="135" spans="1:15" x14ac:dyDescent="0.3">
      <c r="A135" s="1" t="s">
        <v>411</v>
      </c>
      <c r="B135" s="2">
        <v>45383</v>
      </c>
      <c r="C135" s="1" t="str">
        <f>IF(TRIM(sales_dataset[[#This Row],[SalesChannel]])="",sales_dataset!C136,PROPER(TRIM(sales_dataset[[#This Row],[SalesChannel]])))</f>
        <v>Offline</v>
      </c>
      <c r="D135" s="1" t="s">
        <v>407</v>
      </c>
      <c r="E135" s="1" t="str">
        <f>IF(TRIM(sales_dataset[[#This Row],[CustomerName]])="",sales_dataset!F141, PROPER(TRIM(sales_dataset[[#This Row],[CustomerName]])))</f>
        <v>Priya</v>
      </c>
      <c r="F135" s="1" t="str">
        <f>IF(TRIM(sales_dataset[[#This Row],[City]])="", sales_dataset!$H$3, PROPER(TRIM(sales_dataset[[#This Row],[City]])))</f>
        <v>Mumbai</v>
      </c>
      <c r="G135" t="str">
        <f>PROPER(sales_dataset[[#This Row],[Region cleaned]])</f>
        <v>West</v>
      </c>
      <c r="H135" t="s">
        <v>129</v>
      </c>
      <c r="I135" t="str">
        <f>IF(TRIM(sales_dataset[[#This Row],[SalespersonName]])="",I138,PROPER(TRIM(sales_dataset[[#This Row],[SalespersonName]])))</f>
        <v>Megha</v>
      </c>
      <c r="J135" s="1" t="s">
        <v>159</v>
      </c>
      <c r="K135" s="1" t="str">
        <f>PROPER(sales_dataset[[#This Row],[ProductCategory cleaned]])</f>
        <v>Electronics</v>
      </c>
      <c r="L135" s="1" t="str">
        <f>PROPER(sales_dataset[[#This Row],[ProductName]])</f>
        <v>Watch</v>
      </c>
      <c r="M135">
        <f>ABS(sales_dataset!W:W)</f>
        <v>1</v>
      </c>
      <c r="N135">
        <f>ABS(sales_dataset[[#This Row],[Column4]])</f>
        <v>100</v>
      </c>
      <c r="O135">
        <f t="shared" si="2"/>
        <v>100</v>
      </c>
    </row>
    <row r="136" spans="1:15" x14ac:dyDescent="0.3">
      <c r="A136" s="1" t="s">
        <v>412</v>
      </c>
      <c r="B136" s="2">
        <v>45551</v>
      </c>
      <c r="C136" s="1" t="str">
        <f>IF(TRIM(sales_dataset[[#This Row],[SalesChannel]])="",sales_dataset!C137,PROPER(TRIM(sales_dataset[[#This Row],[SalesChannel]])))</f>
        <v>Store</v>
      </c>
      <c r="D136" s="1" t="s">
        <v>358</v>
      </c>
      <c r="E136" s="1" t="str">
        <f>IF(TRIM(sales_dataset[[#This Row],[CustomerName]])="",sales_dataset!F142, PROPER(TRIM(sales_dataset[[#This Row],[CustomerName]])))</f>
        <v>John</v>
      </c>
      <c r="F136" s="1" t="str">
        <f>IF(TRIM(sales_dataset[[#This Row],[City]])="", sales_dataset!$H$3, PROPER(TRIM(sales_dataset[[#This Row],[City]])))</f>
        <v>Mumbai</v>
      </c>
      <c r="G136" t="str">
        <f>PROPER(sales_dataset[[#This Row],[Region cleaned]])</f>
        <v>North</v>
      </c>
      <c r="H136" t="s">
        <v>413</v>
      </c>
      <c r="I136" t="str">
        <f>IF(TRIM(sales_dataset[[#This Row],[SalespersonName]])="",I139,PROPER(TRIM(sales_dataset[[#This Row],[SalespersonName]])))</f>
        <v>Sam</v>
      </c>
      <c r="J136" s="1" t="s">
        <v>90</v>
      </c>
      <c r="K136" s="1" t="str">
        <f>PROPER(sales_dataset[[#This Row],[ProductCategory cleaned]])</f>
        <v>Electronics</v>
      </c>
      <c r="L136" s="1" t="str">
        <f>PROPER(sales_dataset[[#This Row],[ProductName]])</f>
        <v>Watch</v>
      </c>
      <c r="M136">
        <f>ABS(sales_dataset!W:W)</f>
        <v>5</v>
      </c>
      <c r="N136">
        <f>ABS(sales_dataset[[#This Row],[Column4]])</f>
        <v>100</v>
      </c>
      <c r="O136">
        <f t="shared" si="2"/>
        <v>500</v>
      </c>
    </row>
    <row r="137" spans="1:15" x14ac:dyDescent="0.3">
      <c r="A137" s="1" t="s">
        <v>414</v>
      </c>
      <c r="B137" s="2">
        <v>45346</v>
      </c>
      <c r="C137" s="1" t="str">
        <f>IF(TRIM(sales_dataset[[#This Row],[SalesChannel]])="",sales_dataset!C138,PROPER(TRIM(sales_dataset[[#This Row],[SalesChannel]])))</f>
        <v>Store</v>
      </c>
      <c r="D137" s="1" t="s">
        <v>415</v>
      </c>
      <c r="E137" s="1" t="str">
        <f>IF(TRIM(sales_dataset[[#This Row],[CustomerName]])="",sales_dataset!F143, PROPER(TRIM(sales_dataset[[#This Row],[CustomerName]])))</f>
        <v>David</v>
      </c>
      <c r="F137" s="1" t="str">
        <f>IF(TRIM(sales_dataset[[#This Row],[City]])="", sales_dataset!$H$3, PROPER(TRIM(sales_dataset[[#This Row],[City]])))</f>
        <v>Chennai</v>
      </c>
      <c r="G137" t="str">
        <f>PROPER(sales_dataset[[#This Row],[Region cleaned]])</f>
        <v>East</v>
      </c>
      <c r="H137" t="s">
        <v>416</v>
      </c>
      <c r="I137" t="str">
        <f>IF(TRIM(sales_dataset[[#This Row],[SalespersonName]])="",I140,PROPER(TRIM(sales_dataset[[#This Row],[SalespersonName]])))</f>
        <v>Megha</v>
      </c>
      <c r="J137" s="1" t="s">
        <v>417</v>
      </c>
      <c r="K137" s="1" t="str">
        <f>PROPER(sales_dataset[[#This Row],[ProductCategory cleaned]])</f>
        <v>Clothing</v>
      </c>
      <c r="L137" s="1" t="str">
        <f>PROPER(sales_dataset[[#This Row],[ProductName]])</f>
        <v/>
      </c>
      <c r="M137">
        <f>ABS(sales_dataset!W:W)</f>
        <v>1</v>
      </c>
      <c r="N137">
        <f>ABS(sales_dataset[[#This Row],[Column4]])</f>
        <v>1500</v>
      </c>
      <c r="O137">
        <f t="shared" si="2"/>
        <v>1500</v>
      </c>
    </row>
    <row r="138" spans="1:15" x14ac:dyDescent="0.3">
      <c r="A138" s="1" t="s">
        <v>418</v>
      </c>
      <c r="B138" s="2">
        <v>45444</v>
      </c>
      <c r="C138" s="1" t="str">
        <f>IF(TRIM(sales_dataset[[#This Row],[SalesChannel]])="",sales_dataset!C139,PROPER(TRIM(sales_dataset[[#This Row],[SalesChannel]])))</f>
        <v>Online</v>
      </c>
      <c r="D138" s="1" t="s">
        <v>317</v>
      </c>
      <c r="E138" s="1" t="str">
        <f>IF(TRIM(sales_dataset[[#This Row],[CustomerName]])="",sales_dataset!F144, PROPER(TRIM(sales_dataset[[#This Row],[CustomerName]])))</f>
        <v>Sara</v>
      </c>
      <c r="F138" s="1" t="str">
        <f>IF(TRIM(sales_dataset[[#This Row],[City]])="", sales_dataset!$H$3, PROPER(TRIM(sales_dataset[[#This Row],[City]])))</f>
        <v>Bengaluru</v>
      </c>
      <c r="G138" t="str">
        <f>PROPER(sales_dataset[[#This Row],[Region cleaned]])</f>
        <v>South</v>
      </c>
      <c r="H138" t="s">
        <v>169</v>
      </c>
      <c r="I138" t="str">
        <f>IF(TRIM(sales_dataset[[#This Row],[SalespersonName]])="",I141,PROPER(TRIM(sales_dataset[[#This Row],[SalespersonName]])))</f>
        <v>Anita</v>
      </c>
      <c r="J138" s="1" t="s">
        <v>184</v>
      </c>
      <c r="K138" s="1" t="str">
        <f>PROPER(sales_dataset[[#This Row],[ProductCategory cleaned]])</f>
        <v>Electronics</v>
      </c>
      <c r="L138" s="1" t="str">
        <f>PROPER(sales_dataset[[#This Row],[ProductName]])</f>
        <v>Watch</v>
      </c>
      <c r="M138">
        <f>ABS(sales_dataset!W:W)</f>
        <v>0</v>
      </c>
      <c r="N138">
        <f>ABS(sales_dataset[[#This Row],[Column4]])</f>
        <v>100</v>
      </c>
      <c r="O138">
        <f t="shared" si="2"/>
        <v>0</v>
      </c>
    </row>
    <row r="139" spans="1:15" x14ac:dyDescent="0.3">
      <c r="A139" s="1" t="s">
        <v>419</v>
      </c>
      <c r="B139" s="2">
        <v>45551</v>
      </c>
      <c r="C139" s="1" t="str">
        <f>IF(TRIM(sales_dataset[[#This Row],[SalesChannel]])="",sales_dataset!C140,PROPER(TRIM(sales_dataset[[#This Row],[SalesChannel]])))</f>
        <v>Online</v>
      </c>
      <c r="D139" s="1" t="s">
        <v>420</v>
      </c>
      <c r="E139" s="1" t="str">
        <f>IF(TRIM(sales_dataset[[#This Row],[CustomerName]])="",sales_dataset!F145, PROPER(TRIM(sales_dataset[[#This Row],[CustomerName]])))</f>
        <v>John</v>
      </c>
      <c r="F139" s="1" t="str">
        <f>IF(TRIM(sales_dataset[[#This Row],[City]])="", sales_dataset!$H$3, PROPER(TRIM(sales_dataset[[#This Row],[City]])))</f>
        <v>Delhi</v>
      </c>
      <c r="G139" t="str">
        <f>PROPER(sales_dataset[[#This Row],[Region cleaned]])</f>
        <v>East</v>
      </c>
      <c r="H139" t="s">
        <v>209</v>
      </c>
      <c r="I139" t="str">
        <f>IF(TRIM(sales_dataset[[#This Row],[SalespersonName]])="",I142,PROPER(TRIM(sales_dataset[[#This Row],[SalespersonName]])))</f>
        <v>Sam</v>
      </c>
      <c r="J139" s="1" t="s">
        <v>421</v>
      </c>
      <c r="K139" s="1" t="str">
        <f>PROPER(sales_dataset[[#This Row],[ProductCategory cleaned]])</f>
        <v>Electronics</v>
      </c>
      <c r="L139" s="1" t="str">
        <f>PROPER(sales_dataset[[#This Row],[ProductName]])</f>
        <v>Shirt</v>
      </c>
      <c r="M139">
        <f>ABS(sales_dataset!W:W)</f>
        <v>1</v>
      </c>
      <c r="N139">
        <f>ABS(sales_dataset[[#This Row],[Column4]])</f>
        <v>1500</v>
      </c>
      <c r="O139">
        <f t="shared" si="2"/>
        <v>1500</v>
      </c>
    </row>
    <row r="140" spans="1:15" x14ac:dyDescent="0.3">
      <c r="A140" s="1" t="s">
        <v>422</v>
      </c>
      <c r="B140" s="2">
        <v>45393</v>
      </c>
      <c r="C140" s="1" t="str">
        <f>IF(TRIM(sales_dataset[[#This Row],[SalesChannel]])="",sales_dataset!C141,PROPER(TRIM(sales_dataset[[#This Row],[SalesChannel]])))</f>
        <v>Online</v>
      </c>
      <c r="D140" s="1" t="s">
        <v>44</v>
      </c>
      <c r="E140" s="1" t="str">
        <f>IF(TRIM(sales_dataset[[#This Row],[CustomerName]])="",sales_dataset!F146, PROPER(TRIM(sales_dataset[[#This Row],[CustomerName]])))</f>
        <v>Sara</v>
      </c>
      <c r="F140" s="1" t="str">
        <f>IF(TRIM(sales_dataset[[#This Row],[City]])="", sales_dataset!$H$3, PROPER(TRIM(sales_dataset[[#This Row],[City]])))</f>
        <v>Mumbai</v>
      </c>
      <c r="G140" t="str">
        <f>PROPER(sales_dataset[[#This Row],[Region cleaned]])</f>
        <v>North</v>
      </c>
      <c r="H140" t="s">
        <v>218</v>
      </c>
      <c r="I140" t="str">
        <f>IF(TRIM(sales_dataset[[#This Row],[SalespersonName]])="",I143,PROPER(TRIM(sales_dataset[[#This Row],[SalespersonName]])))</f>
        <v>Megha</v>
      </c>
      <c r="J140" s="1" t="s">
        <v>57</v>
      </c>
      <c r="K140" s="1" t="str">
        <f>PROPER(sales_dataset[[#This Row],[ProductCategory cleaned]])</f>
        <v>Home</v>
      </c>
      <c r="L140" s="1" t="str">
        <f>PROPER(sales_dataset[[#This Row],[ProductName]])</f>
        <v>Watch</v>
      </c>
      <c r="M140">
        <f>ABS(sales_dataset!W:W)</f>
        <v>4</v>
      </c>
      <c r="N140">
        <f>ABS(sales_dataset[[#This Row],[Column4]])</f>
        <v>2000</v>
      </c>
      <c r="O140">
        <f t="shared" si="2"/>
        <v>8000</v>
      </c>
    </row>
    <row r="141" spans="1:15" x14ac:dyDescent="0.3">
      <c r="A141" s="1" t="s">
        <v>423</v>
      </c>
      <c r="B141" s="2">
        <v>45370</v>
      </c>
      <c r="C141" s="1" t="str">
        <f>IF(TRIM(sales_dataset[[#This Row],[SalesChannel]])="",sales_dataset!C142,PROPER(TRIM(sales_dataset[[#This Row],[SalesChannel]])))</f>
        <v>Offline</v>
      </c>
      <c r="D141" s="1" t="s">
        <v>300</v>
      </c>
      <c r="E141" s="1" t="str">
        <f>IF(TRIM(sales_dataset[[#This Row],[CustomerName]])="",sales_dataset!F147, PROPER(TRIM(sales_dataset[[#This Row],[CustomerName]])))</f>
        <v>priya</v>
      </c>
      <c r="F141" s="1" t="str">
        <f>IF(TRIM(sales_dataset[[#This Row],[City]])="", sales_dataset!$H$3, PROPER(TRIM(sales_dataset[[#This Row],[City]])))</f>
        <v>Delhi</v>
      </c>
      <c r="G141" t="str">
        <f>PROPER(sales_dataset[[#This Row],[Region cleaned]])</f>
        <v>North</v>
      </c>
      <c r="H141" t="s">
        <v>241</v>
      </c>
      <c r="I141" t="str">
        <f>IF(TRIM(sales_dataset[[#This Row],[SalespersonName]])="",I144,PROPER(TRIM(sales_dataset[[#This Row],[SalespersonName]])))</f>
        <v>Anita</v>
      </c>
      <c r="J141" s="1" t="s">
        <v>57</v>
      </c>
      <c r="K141" s="1" t="str">
        <f>PROPER(sales_dataset[[#This Row],[ProductCategory cleaned]])</f>
        <v>Electronics</v>
      </c>
      <c r="L141" s="1" t="str">
        <f>PROPER(sales_dataset[[#This Row],[ProductName]])</f>
        <v>Laptop</v>
      </c>
      <c r="M141">
        <f>ABS(sales_dataset!W:W)</f>
        <v>1</v>
      </c>
      <c r="N141">
        <f>ABS(sales_dataset[[#This Row],[Column4]])</f>
        <v>2500</v>
      </c>
      <c r="O141">
        <f t="shared" si="2"/>
        <v>2500</v>
      </c>
    </row>
    <row r="142" spans="1:15" x14ac:dyDescent="0.3">
      <c r="A142" s="1" t="s">
        <v>424</v>
      </c>
      <c r="B142" s="2">
        <v>45483</v>
      </c>
      <c r="C142" s="1" t="str">
        <f>IF(TRIM(sales_dataset[[#This Row],[SalesChannel]])="",sales_dataset!C143,PROPER(TRIM(sales_dataset[[#This Row],[SalesChannel]])))</f>
        <v>Store</v>
      </c>
      <c r="D142" s="1" t="s">
        <v>425</v>
      </c>
      <c r="E142" s="1" t="str">
        <f>IF(TRIM(sales_dataset[[#This Row],[CustomerName]])="",sales_dataset!F148, PROPER(TRIM(sales_dataset[[#This Row],[CustomerName]])))</f>
        <v>Sara</v>
      </c>
      <c r="F142" s="1" t="str">
        <f>IF(TRIM(sales_dataset[[#This Row],[City]])="", sales_dataset!$H$3, PROPER(TRIM(sales_dataset[[#This Row],[City]])))</f>
        <v>Chennai</v>
      </c>
      <c r="G142" t="str">
        <f>PROPER(sales_dataset[[#This Row],[Region cleaned]])</f>
        <v>South</v>
      </c>
      <c r="H142" t="s">
        <v>212</v>
      </c>
      <c r="I142" t="str">
        <f>IF(TRIM(sales_dataset[[#This Row],[SalespersonName]])="",I145,PROPER(TRIM(sales_dataset[[#This Row],[SalespersonName]])))</f>
        <v>Megha</v>
      </c>
      <c r="J142" s="1" t="s">
        <v>133</v>
      </c>
      <c r="K142" s="1" t="str">
        <f>PROPER(sales_dataset[[#This Row],[ProductCategory cleaned]])</f>
        <v>Clothing</v>
      </c>
      <c r="L142" s="1" t="str">
        <f>PROPER(sales_dataset[[#This Row],[ProductName]])</f>
        <v>Tv</v>
      </c>
      <c r="M142">
        <f>ABS(sales_dataset!W:W)</f>
        <v>1</v>
      </c>
      <c r="N142">
        <f>ABS(sales_dataset[[#This Row],[Column4]])</f>
        <v>1500</v>
      </c>
      <c r="O142">
        <f t="shared" si="2"/>
        <v>1500</v>
      </c>
    </row>
    <row r="143" spans="1:15" x14ac:dyDescent="0.3">
      <c r="A143" s="1" t="s">
        <v>426</v>
      </c>
      <c r="B143" s="2">
        <v>45374</v>
      </c>
      <c r="C143" s="1" t="str">
        <f>IF(TRIM(sales_dataset[[#This Row],[SalesChannel]])="",sales_dataset!C144,PROPER(TRIM(sales_dataset[[#This Row],[SalesChannel]])))</f>
        <v>Store</v>
      </c>
      <c r="D143" s="1" t="s">
        <v>253</v>
      </c>
      <c r="E143" s="1" t="str">
        <f>IF(TRIM(sales_dataset[[#This Row],[CustomerName]])="",sales_dataset!F149, PROPER(TRIM(sales_dataset[[#This Row],[CustomerName]])))</f>
        <v>Amit</v>
      </c>
      <c r="F143" s="1" t="str">
        <f>IF(TRIM(sales_dataset[[#This Row],[City]])="", sales_dataset!$H$3, PROPER(TRIM(sales_dataset[[#This Row],[City]])))</f>
        <v>Delhi</v>
      </c>
      <c r="G143" t="str">
        <f>PROPER(sales_dataset[[#This Row],[Region cleaned]])</f>
        <v>West</v>
      </c>
      <c r="H143" t="s">
        <v>427</v>
      </c>
      <c r="I143" t="str">
        <f>IF(TRIM(sales_dataset[[#This Row],[SalespersonName]])="",I146,PROPER(TRIM(sales_dataset[[#This Row],[SalespersonName]])))</f>
        <v>Kevin</v>
      </c>
      <c r="J143" s="1" t="s">
        <v>149</v>
      </c>
      <c r="K143" s="1" t="str">
        <f>PROPER(sales_dataset[[#This Row],[ProductCategory cleaned]])</f>
        <v>Clothing</v>
      </c>
      <c r="L143" s="1" t="str">
        <f>PROPER(sales_dataset[[#This Row],[ProductName]])</f>
        <v/>
      </c>
      <c r="M143">
        <f>ABS(sales_dataset!W:W)</f>
        <v>1</v>
      </c>
      <c r="N143">
        <f>ABS(sales_dataset[[#This Row],[Column4]])</f>
        <v>100</v>
      </c>
      <c r="O143">
        <f t="shared" si="2"/>
        <v>100</v>
      </c>
    </row>
    <row r="144" spans="1:15" x14ac:dyDescent="0.3">
      <c r="A144" s="1" t="s">
        <v>428</v>
      </c>
      <c r="B144" s="2">
        <v>45568</v>
      </c>
      <c r="C144" s="1" t="str">
        <f>IF(TRIM(sales_dataset[[#This Row],[SalesChannel]])="",sales_dataset!C145,PROPER(TRIM(sales_dataset[[#This Row],[SalesChannel]])))</f>
        <v>Online</v>
      </c>
      <c r="D144" s="1" t="s">
        <v>429</v>
      </c>
      <c r="E144" s="1" t="str">
        <f>IF(TRIM(sales_dataset[[#This Row],[CustomerName]])="",sales_dataset!F150, PROPER(TRIM(sales_dataset[[#This Row],[CustomerName]])))</f>
        <v>Priya</v>
      </c>
      <c r="F144" s="1" t="str">
        <f>IF(TRIM(sales_dataset[[#This Row],[City]])="", sales_dataset!$H$3, PROPER(TRIM(sales_dataset[[#This Row],[City]])))</f>
        <v>Mumbai</v>
      </c>
      <c r="G144" t="str">
        <f>PROPER(sales_dataset[[#This Row],[Region cleaned]])</f>
        <v>West</v>
      </c>
      <c r="H144" t="s">
        <v>193</v>
      </c>
      <c r="I144" t="str">
        <f>IF(TRIM(sales_dataset[[#This Row],[SalespersonName]])="",I147,PROPER(TRIM(sales_dataset[[#This Row],[SalespersonName]])))</f>
        <v>Kevin</v>
      </c>
      <c r="J144" s="1" t="s">
        <v>271</v>
      </c>
      <c r="K144" s="1" t="str">
        <f>PROPER(sales_dataset[[#This Row],[ProductCategory cleaned]])</f>
        <v>Electronics</v>
      </c>
      <c r="L144" s="1" t="str">
        <f>PROPER(sales_dataset[[#This Row],[ProductName]])</f>
        <v>Sofa</v>
      </c>
      <c r="M144">
        <f>ABS(sales_dataset!W:W)</f>
        <v>5</v>
      </c>
      <c r="N144">
        <f>ABS(sales_dataset[[#This Row],[Column4]])</f>
        <v>500</v>
      </c>
      <c r="O144">
        <f t="shared" si="2"/>
        <v>2500</v>
      </c>
    </row>
    <row r="145" spans="1:15" x14ac:dyDescent="0.3">
      <c r="A145" s="1" t="s">
        <v>430</v>
      </c>
      <c r="B145" s="2">
        <v>45563</v>
      </c>
      <c r="C145" s="1" t="str">
        <f>IF(TRIM(sales_dataset[[#This Row],[SalesChannel]])="",sales_dataset!C146,PROPER(TRIM(sales_dataset[[#This Row],[SalesChannel]])))</f>
        <v>Online</v>
      </c>
      <c r="D145" s="1" t="s">
        <v>431</v>
      </c>
      <c r="E145" s="1" t="str">
        <f>IF(TRIM(sales_dataset[[#This Row],[CustomerName]])="",sales_dataset!F151, PROPER(TRIM(sales_dataset[[#This Row],[CustomerName]])))</f>
        <v>Priya</v>
      </c>
      <c r="F145" s="1" t="str">
        <f>IF(TRIM(sales_dataset[[#This Row],[City]])="", sales_dataset!$H$3, PROPER(TRIM(sales_dataset[[#This Row],[City]])))</f>
        <v>Mumbai</v>
      </c>
      <c r="G145" t="str">
        <f>PROPER(sales_dataset[[#This Row],[Region cleaned]])</f>
        <v>North</v>
      </c>
      <c r="H145" t="s">
        <v>125</v>
      </c>
      <c r="I145" t="str">
        <f>IF(TRIM(sales_dataset[[#This Row],[SalespersonName]])="",I148,PROPER(TRIM(sales_dataset[[#This Row],[SalespersonName]])))</f>
        <v>Raj</v>
      </c>
      <c r="J145" s="1" t="s">
        <v>311</v>
      </c>
      <c r="K145" s="1" t="str">
        <f>PROPER(sales_dataset[[#This Row],[ProductCategory cleaned]])</f>
        <v>Electronics</v>
      </c>
      <c r="L145" s="1" t="str">
        <f>PROPER(sales_dataset[[#This Row],[ProductName]])</f>
        <v>Laptop</v>
      </c>
      <c r="M145">
        <f>ABS(sales_dataset!W:W)</f>
        <v>1</v>
      </c>
      <c r="N145">
        <f>ABS(sales_dataset[[#This Row],[Column4]])</f>
        <v>1500</v>
      </c>
      <c r="O145">
        <f t="shared" si="2"/>
        <v>1500</v>
      </c>
    </row>
    <row r="146" spans="1:15" x14ac:dyDescent="0.3">
      <c r="A146" s="1" t="s">
        <v>432</v>
      </c>
      <c r="B146" s="2">
        <v>45292</v>
      </c>
      <c r="C146" s="1" t="str">
        <f>IF(TRIM(sales_dataset[[#This Row],[SalesChannel]])="",sales_dataset!C147,PROPER(TRIM(sales_dataset[[#This Row],[SalesChannel]])))</f>
        <v>Online</v>
      </c>
      <c r="D146" s="1" t="s">
        <v>333</v>
      </c>
      <c r="E146" s="1" t="str">
        <f>IF(TRIM(sales_dataset[[#This Row],[CustomerName]])="",sales_dataset!F152, PROPER(TRIM(sales_dataset[[#This Row],[CustomerName]])))</f>
        <v>Sara</v>
      </c>
      <c r="F146" s="1" t="str">
        <f>IF(TRIM(sales_dataset[[#This Row],[City]])="", sales_dataset!$H$3, PROPER(TRIM(sales_dataset[[#This Row],[City]])))</f>
        <v>Bengaluru</v>
      </c>
      <c r="G146" t="str">
        <f>PROPER(sales_dataset[[#This Row],[Region cleaned]])</f>
        <v>West</v>
      </c>
      <c r="H146" t="s">
        <v>433</v>
      </c>
      <c r="I146" t="str">
        <f>IF(TRIM(sales_dataset[[#This Row],[SalespersonName]])="",I149,PROPER(TRIM(sales_dataset[[#This Row],[SalespersonName]])))</f>
        <v>Megha</v>
      </c>
      <c r="J146" s="1" t="s">
        <v>81</v>
      </c>
      <c r="K146" s="1" t="str">
        <f>PROPER(sales_dataset[[#This Row],[ProductCategory cleaned]])</f>
        <v>Electronics</v>
      </c>
      <c r="L146" s="1" t="str">
        <f>PROPER(sales_dataset[[#This Row],[ProductName]])</f>
        <v>Laptop</v>
      </c>
      <c r="M146">
        <f>ABS(sales_dataset!W:W)</f>
        <v>4</v>
      </c>
      <c r="N146">
        <f>ABS(sales_dataset[[#This Row],[Column4]])</f>
        <v>1500</v>
      </c>
      <c r="O146">
        <f t="shared" si="2"/>
        <v>6000</v>
      </c>
    </row>
    <row r="147" spans="1:15" x14ac:dyDescent="0.3">
      <c r="A147" s="1" t="s">
        <v>434</v>
      </c>
      <c r="B147" s="2">
        <v>45457</v>
      </c>
      <c r="C147" s="1" t="str">
        <f>IF(TRIM(sales_dataset[[#This Row],[SalesChannel]])="",sales_dataset!C148,PROPER(TRIM(sales_dataset[[#This Row],[SalesChannel]])))</f>
        <v>Offline</v>
      </c>
      <c r="D147" s="1" t="s">
        <v>250</v>
      </c>
      <c r="E147" s="1" t="str">
        <f>IF(TRIM(sales_dataset[[#This Row],[CustomerName]])="",sales_dataset!F153, PROPER(TRIM(sales_dataset[[#This Row],[CustomerName]])))</f>
        <v>Priya</v>
      </c>
      <c r="F147" s="1" t="str">
        <f>IF(TRIM(sales_dataset[[#This Row],[City]])="", sales_dataset!$H$3, PROPER(TRIM(sales_dataset[[#This Row],[City]])))</f>
        <v>Hyderabad</v>
      </c>
      <c r="G147" t="str">
        <f>PROPER(sales_dataset[[#This Row],[Region cleaned]])</f>
        <v>North</v>
      </c>
      <c r="H147" t="s">
        <v>129</v>
      </c>
      <c r="I147" t="str">
        <f>IF(TRIM(sales_dataset[[#This Row],[SalespersonName]])="",I150,PROPER(TRIM(sales_dataset[[#This Row],[SalespersonName]])))</f>
        <v>Megha</v>
      </c>
      <c r="J147" s="1" t="s">
        <v>399</v>
      </c>
      <c r="K147" s="1" t="str">
        <f>PROPER(sales_dataset[[#This Row],[ProductCategory cleaned]])</f>
        <v>Clothing</v>
      </c>
      <c r="L147" s="1" t="str">
        <f>PROPER(sales_dataset[[#This Row],[ProductName]])</f>
        <v>Laptop</v>
      </c>
      <c r="M147">
        <f>ABS(sales_dataset!W:W)</f>
        <v>4</v>
      </c>
      <c r="N147">
        <f>ABS(sales_dataset[[#This Row],[Column4]])</f>
        <v>100</v>
      </c>
      <c r="O147">
        <f t="shared" si="2"/>
        <v>400</v>
      </c>
    </row>
    <row r="148" spans="1:15" x14ac:dyDescent="0.3">
      <c r="A148" s="1" t="s">
        <v>435</v>
      </c>
      <c r="B148" s="2">
        <v>45542</v>
      </c>
      <c r="C148" s="1" t="str">
        <f>IF(TRIM(sales_dataset[[#This Row],[SalesChannel]])="",sales_dataset!C149,PROPER(TRIM(sales_dataset[[#This Row],[SalesChannel]])))</f>
        <v>Store</v>
      </c>
      <c r="D148" s="1" t="s">
        <v>436</v>
      </c>
      <c r="E148" s="1" t="str">
        <f>IF(TRIM(sales_dataset[[#This Row],[CustomerName]])="",sales_dataset!F154, PROPER(TRIM(sales_dataset[[#This Row],[CustomerName]])))</f>
        <v>priya</v>
      </c>
      <c r="F148" s="1" t="str">
        <f>IF(TRIM(sales_dataset[[#This Row],[City]])="", sales_dataset!$H$3, PROPER(TRIM(sales_dataset[[#This Row],[City]])))</f>
        <v>Bengaluru</v>
      </c>
      <c r="G148" t="str">
        <f>PROPER(sales_dataset[[#This Row],[Region cleaned]])</f>
        <v>North</v>
      </c>
      <c r="H148" t="s">
        <v>93</v>
      </c>
      <c r="I148" t="str">
        <f>IF(TRIM(sales_dataset[[#This Row],[SalespersonName]])="",I151,PROPER(TRIM(sales_dataset[[#This Row],[SalespersonName]])))</f>
        <v>Anita</v>
      </c>
      <c r="J148" s="1" t="s">
        <v>248</v>
      </c>
      <c r="K148" s="1" t="str">
        <f>PROPER(sales_dataset[[#This Row],[ProductCategory cleaned]])</f>
        <v>Home</v>
      </c>
      <c r="L148" s="1" t="str">
        <f>PROPER(sales_dataset[[#This Row],[ProductName]])</f>
        <v/>
      </c>
      <c r="M148">
        <f>ABS(sales_dataset!W:W)</f>
        <v>4</v>
      </c>
      <c r="N148">
        <f>ABS(sales_dataset[[#This Row],[Column4]])</f>
        <v>2500</v>
      </c>
      <c r="O148">
        <f t="shared" si="2"/>
        <v>10000</v>
      </c>
    </row>
    <row r="149" spans="1:15" x14ac:dyDescent="0.3">
      <c r="A149" s="1" t="s">
        <v>437</v>
      </c>
      <c r="B149" s="2">
        <v>45301</v>
      </c>
      <c r="C149" s="1" t="str">
        <f>IF(TRIM(sales_dataset[[#This Row],[SalesChannel]])="",sales_dataset!C150,PROPER(TRIM(sales_dataset[[#This Row],[SalesChannel]])))</f>
        <v>Store</v>
      </c>
      <c r="D149" s="1" t="s">
        <v>438</v>
      </c>
      <c r="E149" s="1" t="str">
        <f>IF(TRIM(sales_dataset[[#This Row],[CustomerName]])="",sales_dataset!F155, PROPER(TRIM(sales_dataset[[#This Row],[CustomerName]])))</f>
        <v>Sara</v>
      </c>
      <c r="F149" s="1" t="str">
        <f>IF(TRIM(sales_dataset[[#This Row],[City]])="", sales_dataset!$H$3, PROPER(TRIM(sales_dataset[[#This Row],[City]])))</f>
        <v>Bengaluru</v>
      </c>
      <c r="G149" t="str">
        <f>PROPER(sales_dataset[[#This Row],[Region cleaned]])</f>
        <v>West</v>
      </c>
      <c r="H149" t="s">
        <v>193</v>
      </c>
      <c r="I149" t="str">
        <f>IF(TRIM(sales_dataset[[#This Row],[SalespersonName]])="",I152,PROPER(TRIM(sales_dataset[[#This Row],[SalespersonName]])))</f>
        <v>Raj</v>
      </c>
      <c r="J149" s="1" t="s">
        <v>31</v>
      </c>
      <c r="K149" s="1" t="str">
        <f>PROPER(sales_dataset[[#This Row],[ProductCategory cleaned]])</f>
        <v>Clothing</v>
      </c>
      <c r="L149" s="1" t="str">
        <f>PROPER(sales_dataset[[#This Row],[ProductName]])</f>
        <v>Laptop</v>
      </c>
      <c r="M149">
        <f>ABS(sales_dataset!W:W)</f>
        <v>1</v>
      </c>
      <c r="N149">
        <f>ABS(sales_dataset[[#This Row],[Column4]])</f>
        <v>500</v>
      </c>
      <c r="O149">
        <f t="shared" si="2"/>
        <v>500</v>
      </c>
    </row>
    <row r="150" spans="1:15" x14ac:dyDescent="0.3">
      <c r="A150" s="1" t="s">
        <v>439</v>
      </c>
      <c r="B150" s="2">
        <v>45349</v>
      </c>
      <c r="C150" s="1" t="str">
        <f>IF(TRIM(sales_dataset[[#This Row],[SalesChannel]])="",sales_dataset!C151,PROPER(TRIM(sales_dataset[[#This Row],[SalesChannel]])))</f>
        <v>Online</v>
      </c>
      <c r="D150" s="1" t="s">
        <v>440</v>
      </c>
      <c r="E150" s="1" t="str">
        <f>IF(TRIM(sales_dataset[[#This Row],[CustomerName]])="",sales_dataset!F156, PROPER(TRIM(sales_dataset[[#This Row],[CustomerName]])))</f>
        <v>Sara</v>
      </c>
      <c r="F150" s="1" t="str">
        <f>IF(TRIM(sales_dataset[[#This Row],[City]])="", sales_dataset!$H$3, PROPER(TRIM(sales_dataset[[#This Row],[City]])))</f>
        <v>Mumbai</v>
      </c>
      <c r="G150" t="str">
        <f>PROPER(sales_dataset[[#This Row],[Region cleaned]])</f>
        <v>North</v>
      </c>
      <c r="H150" t="s">
        <v>218</v>
      </c>
      <c r="I150" t="str">
        <f>IF(TRIM(sales_dataset[[#This Row],[SalespersonName]])="",I153,PROPER(TRIM(sales_dataset[[#This Row],[SalespersonName]])))</f>
        <v>Megha</v>
      </c>
      <c r="J150" s="1" t="s">
        <v>170</v>
      </c>
      <c r="K150" s="1" t="str">
        <f>PROPER(sales_dataset[[#This Row],[ProductCategory cleaned]])</f>
        <v>Electronics</v>
      </c>
      <c r="L150" s="1" t="str">
        <f>PROPER(sales_dataset[[#This Row],[ProductName]])</f>
        <v>Laptop</v>
      </c>
      <c r="M150">
        <f>ABS(sales_dataset!W:W)</f>
        <v>5</v>
      </c>
      <c r="N150">
        <f>ABS(sales_dataset[[#This Row],[Column4]])</f>
        <v>2500</v>
      </c>
      <c r="O150">
        <f t="shared" si="2"/>
        <v>12500</v>
      </c>
    </row>
    <row r="151" spans="1:15" x14ac:dyDescent="0.3">
      <c r="A151" s="1" t="s">
        <v>441</v>
      </c>
      <c r="B151" s="2">
        <v>45477</v>
      </c>
      <c r="C151" s="1" t="str">
        <f>IF(TRIM(sales_dataset[[#This Row],[SalesChannel]])="",sales_dataset!C152,PROPER(TRIM(sales_dataset[[#This Row],[SalesChannel]])))</f>
        <v>Online</v>
      </c>
      <c r="D151" s="1" t="s">
        <v>442</v>
      </c>
      <c r="E151" s="1" t="str">
        <f>IF(TRIM(sales_dataset[[#This Row],[CustomerName]])="",sales_dataset!F157, PROPER(TRIM(sales_dataset[[#This Row],[CustomerName]])))</f>
        <v>Priya</v>
      </c>
      <c r="F151" s="1" t="str">
        <f>IF(TRIM(sales_dataset[[#This Row],[City]])="", sales_dataset!$H$3, PROPER(TRIM(sales_dataset[[#This Row],[City]])))</f>
        <v>Hyderabad</v>
      </c>
      <c r="G151" t="str">
        <f>PROPER(sales_dataset[[#This Row],[Region cleaned]])</f>
        <v>North</v>
      </c>
      <c r="H151" t="s">
        <v>119</v>
      </c>
      <c r="I151" t="str">
        <f>IF(TRIM(sales_dataset[[#This Row],[SalespersonName]])="",I154,PROPER(TRIM(sales_dataset[[#This Row],[SalespersonName]])))</f>
        <v>Anita</v>
      </c>
      <c r="J151" s="1" t="s">
        <v>40</v>
      </c>
      <c r="K151" s="1" t="str">
        <f>PROPER(sales_dataset[[#This Row],[ProductCategory cleaned]])</f>
        <v>Home</v>
      </c>
      <c r="L151" s="1" t="str">
        <f>PROPER(sales_dataset[[#This Row],[ProductName]])</f>
        <v>Tv</v>
      </c>
      <c r="M151">
        <f>ABS(sales_dataset!W:W)</f>
        <v>3</v>
      </c>
      <c r="N151">
        <f>ABS(sales_dataset[[#This Row],[Column4]])</f>
        <v>500</v>
      </c>
      <c r="O151">
        <f t="shared" si="2"/>
        <v>1500</v>
      </c>
    </row>
    <row r="152" spans="1:15" x14ac:dyDescent="0.3">
      <c r="A152" s="1" t="s">
        <v>443</v>
      </c>
      <c r="B152" s="2">
        <v>45449</v>
      </c>
      <c r="C152" s="1" t="str">
        <f>IF(TRIM(sales_dataset[[#This Row],[SalesChannel]])="",sales_dataset!C153,PROPER(TRIM(sales_dataset[[#This Row],[SalesChannel]])))</f>
        <v>Online</v>
      </c>
      <c r="D152" s="1" t="s">
        <v>444</v>
      </c>
      <c r="E152" s="1" t="str">
        <f>IF(TRIM(sales_dataset[[#This Row],[CustomerName]])="",sales_dataset!F158, PROPER(TRIM(sales_dataset[[#This Row],[CustomerName]])))</f>
        <v>John</v>
      </c>
      <c r="F152" s="1" t="str">
        <f>IF(TRIM(sales_dataset[[#This Row],[City]])="", sales_dataset!$H$3, PROPER(TRIM(sales_dataset[[#This Row],[City]])))</f>
        <v>Hyderabad</v>
      </c>
      <c r="G152" t="str">
        <f>PROPER(sales_dataset[[#This Row],[Region cleaned]])</f>
        <v>North</v>
      </c>
      <c r="H152" t="s">
        <v>350</v>
      </c>
      <c r="I152" t="str">
        <f>IF(TRIM(sales_dataset[[#This Row],[SalespersonName]])="",I155,PROPER(TRIM(sales_dataset[[#This Row],[SalespersonName]])))</f>
        <v>Megha</v>
      </c>
      <c r="J152" s="1" t="s">
        <v>159</v>
      </c>
      <c r="K152" s="1" t="str">
        <f>PROPER(sales_dataset[[#This Row],[ProductCategory cleaned]])</f>
        <v>Home</v>
      </c>
      <c r="L152" s="1" t="str">
        <f>PROPER(sales_dataset[[#This Row],[ProductName]])</f>
        <v>Sofa</v>
      </c>
      <c r="M152">
        <f>ABS(sales_dataset!W:W)</f>
        <v>4</v>
      </c>
      <c r="N152">
        <f>ABS(sales_dataset[[#This Row],[Column4]])</f>
        <v>2500</v>
      </c>
      <c r="O152">
        <f t="shared" si="2"/>
        <v>10000</v>
      </c>
    </row>
    <row r="153" spans="1:15" x14ac:dyDescent="0.3">
      <c r="A153" s="1" t="s">
        <v>445</v>
      </c>
      <c r="B153" s="2">
        <v>45414</v>
      </c>
      <c r="C153" s="1" t="str">
        <f>IF(TRIM(sales_dataset[[#This Row],[SalesChannel]])="",sales_dataset!C154,PROPER(TRIM(sales_dataset[[#This Row],[SalesChannel]])))</f>
        <v>Offline</v>
      </c>
      <c r="D153" s="1" t="s">
        <v>65</v>
      </c>
      <c r="E153" s="1" t="str">
        <f>IF(TRIM(sales_dataset[[#This Row],[CustomerName]])="",sales_dataset!F159, PROPER(TRIM(sales_dataset[[#This Row],[CustomerName]])))</f>
        <v>David</v>
      </c>
      <c r="F153" s="1" t="str">
        <f>IF(TRIM(sales_dataset[[#This Row],[City]])="", sales_dataset!$H$3, PROPER(TRIM(sales_dataset[[#This Row],[City]])))</f>
        <v>Delhi</v>
      </c>
      <c r="G153" t="str">
        <f>PROPER(sales_dataset[[#This Row],[Region cleaned]])</f>
        <v>North</v>
      </c>
      <c r="H153" t="s">
        <v>416</v>
      </c>
      <c r="I153" t="str">
        <f>IF(TRIM(sales_dataset[[#This Row],[SalespersonName]])="",I156,PROPER(TRIM(sales_dataset[[#This Row],[SalespersonName]])))</f>
        <v>Megha</v>
      </c>
      <c r="J153" s="1" t="s">
        <v>446</v>
      </c>
      <c r="K153" s="1" t="str">
        <f>PROPER(sales_dataset[[#This Row],[ProductCategory cleaned]])</f>
        <v>Electronics</v>
      </c>
      <c r="L153" s="1" t="str">
        <f>PROPER(sales_dataset[[#This Row],[ProductName]])</f>
        <v>Tv</v>
      </c>
      <c r="M153">
        <f>ABS(sales_dataset!W:W)</f>
        <v>1</v>
      </c>
      <c r="N153">
        <f>ABS(sales_dataset[[#This Row],[Column4]])</f>
        <v>2000</v>
      </c>
      <c r="O153">
        <f t="shared" si="2"/>
        <v>2000</v>
      </c>
    </row>
    <row r="154" spans="1:15" x14ac:dyDescent="0.3">
      <c r="A154" s="1" t="s">
        <v>447</v>
      </c>
      <c r="B154" s="2">
        <v>45321</v>
      </c>
      <c r="C154" s="1" t="str">
        <f>IF(TRIM(sales_dataset[[#This Row],[SalesChannel]])="",sales_dataset!C155,PROPER(TRIM(sales_dataset[[#This Row],[SalesChannel]])))</f>
        <v>Store</v>
      </c>
      <c r="D154" s="1" t="s">
        <v>442</v>
      </c>
      <c r="E154" s="1" t="str">
        <f>IF(TRIM(sales_dataset[[#This Row],[CustomerName]])="",sales_dataset!F160, PROPER(TRIM(sales_dataset[[#This Row],[CustomerName]])))</f>
        <v>Priya</v>
      </c>
      <c r="F154" s="1" t="str">
        <f>IF(TRIM(sales_dataset[[#This Row],[City]])="", sales_dataset!$H$3, PROPER(TRIM(sales_dataset[[#This Row],[City]])))</f>
        <v>Delhi</v>
      </c>
      <c r="G154" t="str">
        <f>PROPER(sales_dataset[[#This Row],[Region cleaned]])</f>
        <v>North</v>
      </c>
      <c r="H154" t="s">
        <v>129</v>
      </c>
      <c r="I154" t="str">
        <f>IF(TRIM(sales_dataset[[#This Row],[SalespersonName]])="",I157,PROPER(TRIM(sales_dataset[[#This Row],[SalespersonName]])))</f>
        <v>Sam</v>
      </c>
      <c r="J154" s="1" t="s">
        <v>448</v>
      </c>
      <c r="K154" s="1" t="str">
        <f>PROPER(sales_dataset[[#This Row],[ProductCategory cleaned]])</f>
        <v>Electronics</v>
      </c>
      <c r="L154" s="1" t="str">
        <f>PROPER(sales_dataset[[#This Row],[ProductName]])</f>
        <v>Shirt</v>
      </c>
      <c r="M154">
        <f>ABS(sales_dataset!W:W)</f>
        <v>2</v>
      </c>
      <c r="N154">
        <f>ABS(sales_dataset[[#This Row],[Column4]])</f>
        <v>1500</v>
      </c>
      <c r="O154">
        <f t="shared" si="2"/>
        <v>3000</v>
      </c>
    </row>
    <row r="155" spans="1:15" x14ac:dyDescent="0.3">
      <c r="A155" s="1" t="s">
        <v>449</v>
      </c>
      <c r="B155" s="2">
        <v>45415</v>
      </c>
      <c r="C155" s="1" t="str">
        <f>IF(TRIM(sales_dataset[[#This Row],[SalesChannel]])="",sales_dataset!C156,PROPER(TRIM(sales_dataset[[#This Row],[SalesChannel]])))</f>
        <v>Store</v>
      </c>
      <c r="D155" s="1" t="s">
        <v>450</v>
      </c>
      <c r="E155" s="1" t="str">
        <f>IF(TRIM(sales_dataset[[#This Row],[CustomerName]])="",sales_dataset!F161, PROPER(TRIM(sales_dataset[[#This Row],[CustomerName]])))</f>
        <v>John</v>
      </c>
      <c r="F155" s="1" t="str">
        <f>IF(TRIM(sales_dataset[[#This Row],[City]])="", sales_dataset!$H$3, PROPER(TRIM(sales_dataset[[#This Row],[City]])))</f>
        <v>Mumbai</v>
      </c>
      <c r="G155" t="str">
        <f>PROPER(sales_dataset[[#This Row],[Region cleaned]])</f>
        <v>North</v>
      </c>
      <c r="H155" t="s">
        <v>107</v>
      </c>
      <c r="I155" t="str">
        <f>IF(TRIM(sales_dataset[[#This Row],[SalespersonName]])="",I158,PROPER(TRIM(sales_dataset[[#This Row],[SalespersonName]])))</f>
        <v>Megha</v>
      </c>
      <c r="J155" s="1" t="s">
        <v>94</v>
      </c>
      <c r="K155" s="1" t="str">
        <f>PROPER(sales_dataset[[#This Row],[ProductCategory cleaned]])</f>
        <v>Home</v>
      </c>
      <c r="L155" s="1" t="str">
        <f>PROPER(sales_dataset[[#This Row],[ProductName]])</f>
        <v>Sofa</v>
      </c>
      <c r="M155">
        <f>ABS(sales_dataset!W:W)</f>
        <v>2</v>
      </c>
      <c r="N155">
        <f>ABS(sales_dataset[[#This Row],[Column4]])</f>
        <v>2000</v>
      </c>
      <c r="O155">
        <f t="shared" si="2"/>
        <v>4000</v>
      </c>
    </row>
    <row r="156" spans="1:15" x14ac:dyDescent="0.3">
      <c r="A156" s="1" t="s">
        <v>451</v>
      </c>
      <c r="B156" s="2">
        <v>45582</v>
      </c>
      <c r="C156" s="1" t="str">
        <f>IF(TRIM(sales_dataset[[#This Row],[SalesChannel]])="",sales_dataset!C157,PROPER(TRIM(sales_dataset[[#This Row],[SalesChannel]])))</f>
        <v>Online</v>
      </c>
      <c r="D156" s="1" t="s">
        <v>146</v>
      </c>
      <c r="E156" s="1" t="str">
        <f>IF(TRIM(sales_dataset[[#This Row],[CustomerName]])="",sales_dataset!F162, PROPER(TRIM(sales_dataset[[#This Row],[CustomerName]])))</f>
        <v>Sara</v>
      </c>
      <c r="F156" s="1" t="str">
        <f>IF(TRIM(sales_dataset[[#This Row],[City]])="", sales_dataset!$H$3, PROPER(TRIM(sales_dataset[[#This Row],[City]])))</f>
        <v>Chennai</v>
      </c>
      <c r="G156" t="str">
        <f>PROPER(sales_dataset[[#This Row],[Region cleaned]])</f>
        <v>South</v>
      </c>
      <c r="H156" t="s">
        <v>427</v>
      </c>
      <c r="I156" t="str">
        <f>IF(TRIM(sales_dataset[[#This Row],[SalespersonName]])="",I159,PROPER(TRIM(sales_dataset[[#This Row],[SalespersonName]])))</f>
        <v>Megha</v>
      </c>
      <c r="J156" s="1" t="s">
        <v>452</v>
      </c>
      <c r="K156" s="1" t="str">
        <f>PROPER(sales_dataset[[#This Row],[ProductCategory cleaned]])</f>
        <v>Electronics</v>
      </c>
      <c r="L156" s="1" t="str">
        <f>PROPER(sales_dataset[[#This Row],[ProductName]])</f>
        <v>Laptop</v>
      </c>
      <c r="M156">
        <f>ABS(sales_dataset!W:W)</f>
        <v>0</v>
      </c>
      <c r="N156">
        <f>ABS(sales_dataset[[#This Row],[Column4]])</f>
        <v>1500</v>
      </c>
      <c r="O156">
        <f t="shared" si="2"/>
        <v>0</v>
      </c>
    </row>
    <row r="157" spans="1:15" x14ac:dyDescent="0.3">
      <c r="A157" s="1" t="s">
        <v>453</v>
      </c>
      <c r="B157" s="2">
        <v>45332</v>
      </c>
      <c r="C157" s="1" t="str">
        <f>IF(TRIM(sales_dataset[[#This Row],[SalesChannel]])="",sales_dataset!C158,PROPER(TRIM(sales_dataset[[#This Row],[SalesChannel]])))</f>
        <v>Online</v>
      </c>
      <c r="D157" s="1" t="s">
        <v>355</v>
      </c>
      <c r="E157" s="1" t="str">
        <f>IF(TRIM(sales_dataset[[#This Row],[CustomerName]])="",sales_dataset!F163, PROPER(TRIM(sales_dataset[[#This Row],[CustomerName]])))</f>
        <v>Amit</v>
      </c>
      <c r="F157" s="1" t="str">
        <f>IF(TRIM(sales_dataset[[#This Row],[City]])="", sales_dataset!$H$3, PROPER(TRIM(sales_dataset[[#This Row],[City]])))</f>
        <v>Delhi</v>
      </c>
      <c r="G157" t="str">
        <f>PROPER(sales_dataset[[#This Row],[Region cleaned]])</f>
        <v>East</v>
      </c>
      <c r="H157" t="s">
        <v>103</v>
      </c>
      <c r="I157" t="str">
        <f>IF(TRIM(sales_dataset[[#This Row],[SalespersonName]])="",I160,PROPER(TRIM(sales_dataset[[#This Row],[SalespersonName]])))</f>
        <v>Anita</v>
      </c>
      <c r="J157" s="1" t="s">
        <v>100</v>
      </c>
      <c r="K157" s="1" t="str">
        <f>PROPER(sales_dataset[[#This Row],[ProductCategory cleaned]])</f>
        <v>Home</v>
      </c>
      <c r="L157" s="1" t="str">
        <f>PROPER(sales_dataset[[#This Row],[ProductName]])</f>
        <v/>
      </c>
      <c r="M157">
        <f>ABS(sales_dataset!W:W)</f>
        <v>1</v>
      </c>
      <c r="N157">
        <f>ABS(sales_dataset[[#This Row],[Column4]])</f>
        <v>1500</v>
      </c>
      <c r="O157">
        <f t="shared" si="2"/>
        <v>1500</v>
      </c>
    </row>
    <row r="158" spans="1:15" x14ac:dyDescent="0.3">
      <c r="A158" s="1" t="s">
        <v>454</v>
      </c>
      <c r="B158" s="2">
        <v>45335</v>
      </c>
      <c r="C158" s="1" t="str">
        <f>IF(TRIM(sales_dataset[[#This Row],[SalesChannel]])="",sales_dataset!C159,PROPER(TRIM(sales_dataset[[#This Row],[SalesChannel]])))</f>
        <v>Online</v>
      </c>
      <c r="D158" s="1" t="s">
        <v>110</v>
      </c>
      <c r="E158" s="1" t="str">
        <f>IF(TRIM(sales_dataset[[#This Row],[CustomerName]])="",sales_dataset!F164, PROPER(TRIM(sales_dataset[[#This Row],[CustomerName]])))</f>
        <v>John</v>
      </c>
      <c r="F158" s="1" t="str">
        <f>IF(TRIM(sales_dataset[[#This Row],[City]])="", sales_dataset!$H$3, PROPER(TRIM(sales_dataset[[#This Row],[City]])))</f>
        <v>Delhi</v>
      </c>
      <c r="G158" t="str">
        <f>PROPER(sales_dataset[[#This Row],[Region cleaned]])</f>
        <v>South</v>
      </c>
      <c r="H158" t="s">
        <v>85</v>
      </c>
      <c r="I158" t="str">
        <f>IF(TRIM(sales_dataset[[#This Row],[SalespersonName]])="",I161,PROPER(TRIM(sales_dataset[[#This Row],[SalespersonName]])))</f>
        <v>Megha</v>
      </c>
      <c r="J158" s="1" t="s">
        <v>455</v>
      </c>
      <c r="K158" s="1" t="str">
        <f>PROPER(sales_dataset[[#This Row],[ProductCategory cleaned]])</f>
        <v>Electronics</v>
      </c>
      <c r="L158" s="1" t="str">
        <f>PROPER(sales_dataset[[#This Row],[ProductName]])</f>
        <v>Shirt</v>
      </c>
      <c r="M158">
        <f>ABS(sales_dataset!W:W)</f>
        <v>0</v>
      </c>
      <c r="N158">
        <f>ABS(sales_dataset[[#This Row],[Column4]])</f>
        <v>500</v>
      </c>
      <c r="O158">
        <f t="shared" si="2"/>
        <v>0</v>
      </c>
    </row>
    <row r="159" spans="1:15" x14ac:dyDescent="0.3">
      <c r="A159" s="1" t="s">
        <v>456</v>
      </c>
      <c r="B159" s="2">
        <v>45540</v>
      </c>
      <c r="C159" s="1" t="str">
        <f>IF(TRIM(sales_dataset[[#This Row],[SalesChannel]])="",sales_dataset!C160,PROPER(TRIM(sales_dataset[[#This Row],[SalesChannel]])))</f>
        <v>Offline</v>
      </c>
      <c r="D159" s="1" t="s">
        <v>457</v>
      </c>
      <c r="E159" s="1" t="str">
        <f>IF(TRIM(sales_dataset[[#This Row],[CustomerName]])="",sales_dataset!F165, PROPER(TRIM(sales_dataset[[#This Row],[CustomerName]])))</f>
        <v>David</v>
      </c>
      <c r="F159" s="1" t="str">
        <f>IF(TRIM(sales_dataset[[#This Row],[City]])="", sales_dataset!$H$3, PROPER(TRIM(sales_dataset[[#This Row],[City]])))</f>
        <v>Mumbai</v>
      </c>
      <c r="G159" t="str">
        <f>PROPER(sales_dataset[[#This Row],[Region cleaned]])</f>
        <v>East</v>
      </c>
      <c r="H159" t="s">
        <v>215</v>
      </c>
      <c r="I159" t="str">
        <f>IF(TRIM(sales_dataset[[#This Row],[SalespersonName]])="",I162,PROPER(TRIM(sales_dataset[[#This Row],[SalespersonName]])))</f>
        <v>Sam</v>
      </c>
      <c r="J159" s="1" t="s">
        <v>265</v>
      </c>
      <c r="K159" s="1" t="str">
        <f>PROPER(sales_dataset[[#This Row],[ProductCategory cleaned]])</f>
        <v>Clothing</v>
      </c>
      <c r="L159" s="1" t="str">
        <f>PROPER(sales_dataset[[#This Row],[ProductName]])</f>
        <v>Laptop</v>
      </c>
      <c r="M159">
        <f>ABS(sales_dataset!W:W)</f>
        <v>1</v>
      </c>
      <c r="N159">
        <f>ABS(sales_dataset[[#This Row],[Column4]])</f>
        <v>2000</v>
      </c>
      <c r="O159">
        <f t="shared" si="2"/>
        <v>2000</v>
      </c>
    </row>
    <row r="160" spans="1:15" x14ac:dyDescent="0.3">
      <c r="A160" s="1" t="s">
        <v>458</v>
      </c>
      <c r="B160" s="2">
        <v>45327</v>
      </c>
      <c r="C160" s="1" t="str">
        <f>IF(TRIM(sales_dataset[[#This Row],[SalesChannel]])="",sales_dataset!C161,PROPER(TRIM(sales_dataset[[#This Row],[SalesChannel]])))</f>
        <v>Store</v>
      </c>
      <c r="D160" s="1" t="s">
        <v>310</v>
      </c>
      <c r="E160" s="1" t="str">
        <f>IF(TRIM(sales_dataset[[#This Row],[CustomerName]])="",sales_dataset!F166, PROPER(TRIM(sales_dataset[[#This Row],[CustomerName]])))</f>
        <v>David</v>
      </c>
      <c r="F160" s="1" t="str">
        <f>IF(TRIM(sales_dataset[[#This Row],[City]])="", sales_dataset!$H$3, PROPER(TRIM(sales_dataset[[#This Row],[City]])))</f>
        <v>Bengaluru</v>
      </c>
      <c r="G160" t="str">
        <f>PROPER(sales_dataset[[#This Row],[Region cleaned]])</f>
        <v>West</v>
      </c>
      <c r="H160" t="s">
        <v>47</v>
      </c>
      <c r="I160" t="str">
        <f>IF(TRIM(sales_dataset[[#This Row],[SalespersonName]])="",I163,PROPER(TRIM(sales_dataset[[#This Row],[SalespersonName]])))</f>
        <v>Kevin</v>
      </c>
      <c r="J160" s="1" t="s">
        <v>94</v>
      </c>
      <c r="K160" s="1" t="str">
        <f>PROPER(sales_dataset[[#This Row],[ProductCategory cleaned]])</f>
        <v>Clothing</v>
      </c>
      <c r="L160" s="1" t="str">
        <f>PROPER(sales_dataset[[#This Row],[ProductName]])</f>
        <v/>
      </c>
      <c r="M160">
        <f>ABS(sales_dataset!W:W)</f>
        <v>3</v>
      </c>
      <c r="N160">
        <f>ABS(sales_dataset[[#This Row],[Column4]])</f>
        <v>500</v>
      </c>
      <c r="O160">
        <f t="shared" si="2"/>
        <v>1500</v>
      </c>
    </row>
    <row r="161" spans="1:15" x14ac:dyDescent="0.3">
      <c r="A161" s="1" t="s">
        <v>459</v>
      </c>
      <c r="B161" s="2">
        <v>45564</v>
      </c>
      <c r="C161" s="1" t="str">
        <f>IF(TRIM(sales_dataset[[#This Row],[SalesChannel]])="",sales_dataset!C162,PROPER(TRIM(sales_dataset[[#This Row],[SalesChannel]])))</f>
        <v>Store</v>
      </c>
      <c r="D161" s="1" t="s">
        <v>375</v>
      </c>
      <c r="E161" s="1" t="str">
        <f>IF(TRIM(sales_dataset[[#This Row],[CustomerName]])="",sales_dataset!F167, PROPER(TRIM(sales_dataset[[#This Row],[CustomerName]])))</f>
        <v>Priya</v>
      </c>
      <c r="F161" s="1" t="str">
        <f>IF(TRIM(sales_dataset[[#This Row],[City]])="", sales_dataset!$H$3, PROPER(TRIM(sales_dataset[[#This Row],[City]])))</f>
        <v>Delhi</v>
      </c>
      <c r="G161" t="str">
        <f>PROPER(sales_dataset[[#This Row],[Region cleaned]])</f>
        <v>North</v>
      </c>
      <c r="H161" t="s">
        <v>258</v>
      </c>
      <c r="I161" t="str">
        <f>IF(TRIM(sales_dataset[[#This Row],[SalespersonName]])="",I164,PROPER(TRIM(sales_dataset[[#This Row],[SalespersonName]])))</f>
        <v>Kevin</v>
      </c>
      <c r="J161" s="1" t="s">
        <v>115</v>
      </c>
      <c r="K161" s="1" t="str">
        <f>PROPER(sales_dataset[[#This Row],[ProductCategory cleaned]])</f>
        <v>Clothing</v>
      </c>
      <c r="L161" s="1" t="str">
        <f>PROPER(sales_dataset[[#This Row],[ProductName]])</f>
        <v>Watch</v>
      </c>
      <c r="M161">
        <f>ABS(sales_dataset!W:W)</f>
        <v>4</v>
      </c>
      <c r="N161">
        <f>ABS(sales_dataset[[#This Row],[Column4]])</f>
        <v>2000</v>
      </c>
      <c r="O161">
        <f t="shared" si="2"/>
        <v>8000</v>
      </c>
    </row>
    <row r="162" spans="1:15" x14ac:dyDescent="0.3">
      <c r="A162" s="1" t="s">
        <v>460</v>
      </c>
      <c r="B162" s="2">
        <v>45356</v>
      </c>
      <c r="C162" s="1" t="str">
        <f>IF(TRIM(sales_dataset[[#This Row],[SalesChannel]])="",sales_dataset!C163,PROPER(TRIM(sales_dataset[[#This Row],[SalesChannel]])))</f>
        <v>Online</v>
      </c>
      <c r="D162" s="1" t="s">
        <v>267</v>
      </c>
      <c r="E162" s="1" t="str">
        <f>IF(TRIM(sales_dataset[[#This Row],[CustomerName]])="",sales_dataset!F168, PROPER(TRIM(sales_dataset[[#This Row],[CustomerName]])))</f>
        <v>David</v>
      </c>
      <c r="F162" s="1" t="str">
        <f>IF(TRIM(sales_dataset[[#This Row],[City]])="", sales_dataset!$H$3, PROPER(TRIM(sales_dataset[[#This Row],[City]])))</f>
        <v>Hyderabad</v>
      </c>
      <c r="G162" t="str">
        <f>PROPER(sales_dataset[[#This Row],[Region cleaned]])</f>
        <v>North</v>
      </c>
      <c r="H162" t="s">
        <v>125</v>
      </c>
      <c r="I162" t="str">
        <f>IF(TRIM(sales_dataset[[#This Row],[SalespersonName]])="",I165,PROPER(TRIM(sales_dataset[[#This Row],[SalespersonName]])))</f>
        <v>Anita</v>
      </c>
      <c r="J162" s="1" t="s">
        <v>303</v>
      </c>
      <c r="K162" s="1" t="str">
        <f>PROPER(sales_dataset[[#This Row],[ProductCategory cleaned]])</f>
        <v>Electronics</v>
      </c>
      <c r="L162" s="1" t="str">
        <f>PROPER(sales_dataset[[#This Row],[ProductName]])</f>
        <v>Shirt</v>
      </c>
      <c r="M162">
        <f>ABS(sales_dataset!W:W)</f>
        <v>5</v>
      </c>
      <c r="N162">
        <f>ABS(sales_dataset[[#This Row],[Column4]])</f>
        <v>2500</v>
      </c>
      <c r="O162">
        <f t="shared" si="2"/>
        <v>12500</v>
      </c>
    </row>
    <row r="163" spans="1:15" x14ac:dyDescent="0.3">
      <c r="A163" s="1" t="s">
        <v>461</v>
      </c>
      <c r="B163" s="2">
        <v>45357</v>
      </c>
      <c r="C163" s="1" t="str">
        <f>IF(TRIM(sales_dataset[[#This Row],[SalesChannel]])="",sales_dataset!C164,PROPER(TRIM(sales_dataset[[#This Row],[SalesChannel]])))</f>
        <v>Online</v>
      </c>
      <c r="D163" s="1" t="s">
        <v>217</v>
      </c>
      <c r="E163" s="1" t="str">
        <f>IF(TRIM(sales_dataset[[#This Row],[CustomerName]])="",sales_dataset!F169, PROPER(TRIM(sales_dataset[[#This Row],[CustomerName]])))</f>
        <v>Amit</v>
      </c>
      <c r="F163" s="1" t="str">
        <f>IF(TRIM(sales_dataset[[#This Row],[City]])="", sales_dataset!$H$3, PROPER(TRIM(sales_dataset[[#This Row],[City]])))</f>
        <v>Bengaluru</v>
      </c>
      <c r="G163" t="str">
        <f>PROPER(sales_dataset[[#This Row],[Region cleaned]])</f>
        <v>East</v>
      </c>
      <c r="H163" t="s">
        <v>413</v>
      </c>
      <c r="I163" t="str">
        <f>IF(TRIM(sales_dataset[[#This Row],[SalespersonName]])="",I166,PROPER(TRIM(sales_dataset[[#This Row],[SalespersonName]])))</f>
        <v>Anita</v>
      </c>
      <c r="J163" s="1" t="s">
        <v>221</v>
      </c>
      <c r="K163" s="1" t="str">
        <f>PROPER(sales_dataset[[#This Row],[ProductCategory cleaned]])</f>
        <v>Electronics</v>
      </c>
      <c r="L163" s="1" t="str">
        <f>PROPER(sales_dataset[[#This Row],[ProductName]])</f>
        <v>Shirt</v>
      </c>
      <c r="M163">
        <f>ABS(sales_dataset!W:W)</f>
        <v>1</v>
      </c>
      <c r="N163">
        <f>ABS(sales_dataset[[#This Row],[Column4]])</f>
        <v>100</v>
      </c>
      <c r="O163">
        <f t="shared" si="2"/>
        <v>100</v>
      </c>
    </row>
    <row r="164" spans="1:15" x14ac:dyDescent="0.3">
      <c r="A164" s="1" t="s">
        <v>462</v>
      </c>
      <c r="B164" s="2">
        <v>45535</v>
      </c>
      <c r="C164" s="1" t="str">
        <f>IF(TRIM(sales_dataset[[#This Row],[SalesChannel]])="",sales_dataset!C165,PROPER(TRIM(sales_dataset[[#This Row],[SalesChannel]])))</f>
        <v>Online</v>
      </c>
      <c r="D164" s="1" t="s">
        <v>373</v>
      </c>
      <c r="E164" s="1" t="str">
        <f>IF(TRIM(sales_dataset[[#This Row],[CustomerName]])="",sales_dataset!F170, PROPER(TRIM(sales_dataset[[#This Row],[CustomerName]])))</f>
        <v>Amit</v>
      </c>
      <c r="F164" s="1" t="str">
        <f>IF(TRIM(sales_dataset[[#This Row],[City]])="", sales_dataset!$H$3, PROPER(TRIM(sales_dataset[[#This Row],[City]])))</f>
        <v>Mumbai</v>
      </c>
      <c r="G164" t="str">
        <f>PROPER(sales_dataset[[#This Row],[Region cleaned]])</f>
        <v>South</v>
      </c>
      <c r="H164" t="s">
        <v>61</v>
      </c>
      <c r="I164" t="str">
        <f>IF(TRIM(sales_dataset[[#This Row],[SalespersonName]])="",I167,PROPER(TRIM(sales_dataset[[#This Row],[SalespersonName]])))</f>
        <v>Sam</v>
      </c>
      <c r="J164" s="1" t="s">
        <v>187</v>
      </c>
      <c r="K164" s="1" t="str">
        <f>PROPER(sales_dataset[[#This Row],[ProductCategory cleaned]])</f>
        <v>Electronics</v>
      </c>
      <c r="L164" s="1" t="str">
        <f>PROPER(sales_dataset[[#This Row],[ProductName]])</f>
        <v>Shirt</v>
      </c>
      <c r="M164">
        <f>ABS(sales_dataset!W:W)</f>
        <v>2</v>
      </c>
      <c r="N164">
        <f>ABS(sales_dataset[[#This Row],[Column4]])</f>
        <v>1500</v>
      </c>
      <c r="O164">
        <f t="shared" si="2"/>
        <v>3000</v>
      </c>
    </row>
    <row r="165" spans="1:15" x14ac:dyDescent="0.3">
      <c r="A165" s="1" t="s">
        <v>463</v>
      </c>
      <c r="B165" s="2">
        <v>45573</v>
      </c>
      <c r="C165" s="1" t="str">
        <f>IF(TRIM(sales_dataset[[#This Row],[SalesChannel]])="",sales_dataset!C166,PROPER(TRIM(sales_dataset[[#This Row],[SalesChannel]])))</f>
        <v>Offline</v>
      </c>
      <c r="D165" s="1" t="s">
        <v>183</v>
      </c>
      <c r="E165" s="1" t="str">
        <f>IF(TRIM(sales_dataset[[#This Row],[CustomerName]])="",sales_dataset!F171, PROPER(TRIM(sales_dataset[[#This Row],[CustomerName]])))</f>
        <v>priya</v>
      </c>
      <c r="F165" s="1" t="str">
        <f>IF(TRIM(sales_dataset[[#This Row],[City]])="", sales_dataset!$H$3, PROPER(TRIM(sales_dataset[[#This Row],[City]])))</f>
        <v>Delhi</v>
      </c>
      <c r="G165" t="str">
        <f>PROPER(sales_dataset[[#This Row],[Region cleaned]])</f>
        <v>North</v>
      </c>
      <c r="H165" t="s">
        <v>136</v>
      </c>
      <c r="I165" t="str">
        <f>IF(TRIM(sales_dataset[[#This Row],[SalespersonName]])="",I168,PROPER(TRIM(sales_dataset[[#This Row],[SalespersonName]])))</f>
        <v>Kevin</v>
      </c>
      <c r="J165" s="1" t="s">
        <v>57</v>
      </c>
      <c r="K165" s="1" t="str">
        <f>PROPER(sales_dataset[[#This Row],[ProductCategory cleaned]])</f>
        <v>Electronics</v>
      </c>
      <c r="L165" s="1" t="str">
        <f>PROPER(sales_dataset[[#This Row],[ProductName]])</f>
        <v/>
      </c>
      <c r="M165">
        <f>ABS(sales_dataset!W:W)</f>
        <v>5</v>
      </c>
      <c r="N165">
        <f>ABS(sales_dataset[[#This Row],[Column4]])</f>
        <v>500</v>
      </c>
      <c r="O165">
        <f t="shared" si="2"/>
        <v>2500</v>
      </c>
    </row>
    <row r="166" spans="1:15" x14ac:dyDescent="0.3">
      <c r="A166" s="1" t="s">
        <v>464</v>
      </c>
      <c r="B166" s="2">
        <v>45376</v>
      </c>
      <c r="C166" s="1" t="str">
        <f>IF(TRIM(sales_dataset[[#This Row],[SalesChannel]])="",sales_dataset!C167,PROPER(TRIM(sales_dataset[[#This Row],[SalesChannel]])))</f>
        <v>Store</v>
      </c>
      <c r="D166" s="1" t="s">
        <v>360</v>
      </c>
      <c r="E166" s="1" t="str">
        <f>IF(TRIM(sales_dataset[[#This Row],[CustomerName]])="",sales_dataset!F172, PROPER(TRIM(sales_dataset[[#This Row],[CustomerName]])))</f>
        <v>Sara</v>
      </c>
      <c r="F166" s="1" t="str">
        <f>IF(TRIM(sales_dataset[[#This Row],[City]])="", sales_dataset!$H$3, PROPER(TRIM(sales_dataset[[#This Row],[City]])))</f>
        <v>Bengaluru</v>
      </c>
      <c r="G166" t="str">
        <f>PROPER(sales_dataset[[#This Row],[Region cleaned]])</f>
        <v>West</v>
      </c>
      <c r="H166" t="s">
        <v>169</v>
      </c>
      <c r="I166" t="str">
        <f>IF(TRIM(sales_dataset[[#This Row],[SalespersonName]])="",I169,PROPER(TRIM(sales_dataset[[#This Row],[SalespersonName]])))</f>
        <v>Kevin</v>
      </c>
      <c r="J166" s="1" t="s">
        <v>204</v>
      </c>
      <c r="K166" s="1" t="str">
        <f>PROPER(sales_dataset[[#This Row],[ProductCategory cleaned]])</f>
        <v>Home</v>
      </c>
      <c r="L166" s="1" t="str">
        <f>PROPER(sales_dataset[[#This Row],[ProductName]])</f>
        <v>Tv</v>
      </c>
      <c r="M166">
        <f>ABS(sales_dataset!W:W)</f>
        <v>3</v>
      </c>
      <c r="N166">
        <f>ABS(sales_dataset[[#This Row],[Column4]])</f>
        <v>1500</v>
      </c>
      <c r="O166">
        <f t="shared" si="2"/>
        <v>4500</v>
      </c>
    </row>
    <row r="167" spans="1:15" x14ac:dyDescent="0.3">
      <c r="A167" s="1" t="s">
        <v>465</v>
      </c>
      <c r="B167" s="2">
        <v>45427</v>
      </c>
      <c r="C167" s="1" t="str">
        <f>IF(TRIM(sales_dataset[[#This Row],[SalesChannel]])="",sales_dataset!C168,PROPER(TRIM(sales_dataset[[#This Row],[SalesChannel]])))</f>
        <v>Store</v>
      </c>
      <c r="D167" s="1" t="s">
        <v>466</v>
      </c>
      <c r="E167" s="1" t="str">
        <f>IF(TRIM(sales_dataset[[#This Row],[CustomerName]])="",sales_dataset!F173, PROPER(TRIM(sales_dataset[[#This Row],[CustomerName]])))</f>
        <v>Amit</v>
      </c>
      <c r="F167" s="1" t="str">
        <f>IF(TRIM(sales_dataset[[#This Row],[City]])="", sales_dataset!$H$3, PROPER(TRIM(sales_dataset[[#This Row],[City]])))</f>
        <v>Hyderabad</v>
      </c>
      <c r="G167" t="str">
        <f>PROPER(sales_dataset[[#This Row],[Region cleaned]])</f>
        <v>South</v>
      </c>
      <c r="H167" t="s">
        <v>74</v>
      </c>
      <c r="I167" t="str">
        <f>IF(TRIM(sales_dataset[[#This Row],[SalespersonName]])="",I170,PROPER(TRIM(sales_dataset[[#This Row],[SalespersonName]])))</f>
        <v>Kevin</v>
      </c>
      <c r="J167" s="1" t="s">
        <v>467</v>
      </c>
      <c r="K167" s="1" t="str">
        <f>PROPER(sales_dataset[[#This Row],[ProductCategory cleaned]])</f>
        <v>Home</v>
      </c>
      <c r="L167" s="1" t="str">
        <f>PROPER(sales_dataset[[#This Row],[ProductName]])</f>
        <v>Tv</v>
      </c>
      <c r="M167">
        <f>ABS(sales_dataset!W:W)</f>
        <v>5</v>
      </c>
      <c r="N167">
        <f>ABS(sales_dataset[[#This Row],[Column4]])</f>
        <v>2000</v>
      </c>
      <c r="O167">
        <f t="shared" si="2"/>
        <v>10000</v>
      </c>
    </row>
    <row r="168" spans="1:15" x14ac:dyDescent="0.3">
      <c r="A168" s="1" t="s">
        <v>468</v>
      </c>
      <c r="B168" s="2">
        <v>45562</v>
      </c>
      <c r="C168" s="1" t="str">
        <f>IF(TRIM(sales_dataset[[#This Row],[SalesChannel]])="",sales_dataset!C169,PROPER(TRIM(sales_dataset[[#This Row],[SalesChannel]])))</f>
        <v>Online</v>
      </c>
      <c r="D168" s="1" t="s">
        <v>387</v>
      </c>
      <c r="E168" s="1" t="str">
        <f>IF(TRIM(sales_dataset[[#This Row],[CustomerName]])="",sales_dataset!F174, PROPER(TRIM(sales_dataset[[#This Row],[CustomerName]])))</f>
        <v>David</v>
      </c>
      <c r="F168" s="1" t="str">
        <f>IF(TRIM(sales_dataset[[#This Row],[City]])="", sales_dataset!$H$3, PROPER(TRIM(sales_dataset[[#This Row],[City]])))</f>
        <v>Delhi</v>
      </c>
      <c r="G168" t="str">
        <f>PROPER(sales_dataset[[#This Row],[Region cleaned]])</f>
        <v>North</v>
      </c>
      <c r="H168" t="s">
        <v>38</v>
      </c>
      <c r="I168" t="str">
        <f>IF(TRIM(sales_dataset[[#This Row],[SalespersonName]])="",I171,PROPER(TRIM(sales_dataset[[#This Row],[SalespersonName]])))</f>
        <v>Kevin</v>
      </c>
      <c r="J168" s="1" t="s">
        <v>31</v>
      </c>
      <c r="K168" s="1" t="str">
        <f>PROPER(sales_dataset[[#This Row],[ProductCategory cleaned]])</f>
        <v>Home</v>
      </c>
      <c r="L168" s="1" t="str">
        <f>PROPER(sales_dataset[[#This Row],[ProductName]])</f>
        <v>Sofa</v>
      </c>
      <c r="M168">
        <f>ABS(sales_dataset!W:W)</f>
        <v>5</v>
      </c>
      <c r="N168">
        <f>ABS(sales_dataset[[#This Row],[Column4]])</f>
        <v>100</v>
      </c>
      <c r="O168">
        <f t="shared" si="2"/>
        <v>500</v>
      </c>
    </row>
    <row r="169" spans="1:15" x14ac:dyDescent="0.3">
      <c r="A169" s="1" t="s">
        <v>469</v>
      </c>
      <c r="B169" s="2">
        <v>45508</v>
      </c>
      <c r="C169" s="1" t="str">
        <f>IF(TRIM(sales_dataset[[#This Row],[SalesChannel]])="",sales_dataset!C170,PROPER(TRIM(sales_dataset[[#This Row],[SalesChannel]])))</f>
        <v>Online</v>
      </c>
      <c r="D169" s="1" t="s">
        <v>470</v>
      </c>
      <c r="E169" s="1" t="str">
        <f>IF(TRIM(sales_dataset[[#This Row],[CustomerName]])="",sales_dataset!F175, PROPER(TRIM(sales_dataset[[#This Row],[CustomerName]])))</f>
        <v>Sara</v>
      </c>
      <c r="F169" s="1" t="str">
        <f>IF(TRIM(sales_dataset[[#This Row],[City]])="", sales_dataset!$H$3, PROPER(TRIM(sales_dataset[[#This Row],[City]])))</f>
        <v>Delhi</v>
      </c>
      <c r="G169" t="str">
        <f>PROPER(sales_dataset[[#This Row],[Region cleaned]])</f>
        <v>North</v>
      </c>
      <c r="H169" t="s">
        <v>111</v>
      </c>
      <c r="I169" t="str">
        <f>IF(TRIM(sales_dataset[[#This Row],[SalespersonName]])="",I172,PROPER(TRIM(sales_dataset[[#This Row],[SalespersonName]])))</f>
        <v>Kevin</v>
      </c>
      <c r="J169" s="1" t="s">
        <v>353</v>
      </c>
      <c r="K169" s="1" t="str">
        <f>PROPER(sales_dataset[[#This Row],[ProductCategory cleaned]])</f>
        <v>Electronics</v>
      </c>
      <c r="L169" s="1" t="str">
        <f>PROPER(sales_dataset[[#This Row],[ProductName]])</f>
        <v>Watch</v>
      </c>
      <c r="M169">
        <f>ABS(sales_dataset!W:W)</f>
        <v>0</v>
      </c>
      <c r="N169">
        <f>ABS(sales_dataset[[#This Row],[Column4]])</f>
        <v>500</v>
      </c>
      <c r="O169">
        <f t="shared" si="2"/>
        <v>0</v>
      </c>
    </row>
    <row r="170" spans="1:15" x14ac:dyDescent="0.3">
      <c r="A170" s="1" t="s">
        <v>471</v>
      </c>
      <c r="B170" s="2">
        <v>45400</v>
      </c>
      <c r="C170" s="1" t="str">
        <f>IF(TRIM(sales_dataset[[#This Row],[SalesChannel]])="",sales_dataset!C171,PROPER(TRIM(sales_dataset[[#This Row],[SalesChannel]])))</f>
        <v>Online</v>
      </c>
      <c r="D170" s="1" t="s">
        <v>290</v>
      </c>
      <c r="E170" s="1" t="str">
        <f>IF(TRIM(sales_dataset[[#This Row],[CustomerName]])="",sales_dataset!F176, PROPER(TRIM(sales_dataset[[#This Row],[CustomerName]])))</f>
        <v>Amit</v>
      </c>
      <c r="F170" s="1" t="str">
        <f>IF(TRIM(sales_dataset[[#This Row],[City]])="", sales_dataset!$H$3, PROPER(TRIM(sales_dataset[[#This Row],[City]])))</f>
        <v>Chennai</v>
      </c>
      <c r="G170" t="str">
        <f>PROPER(sales_dataset[[#This Row],[Region cleaned]])</f>
        <v>North</v>
      </c>
      <c r="H170" t="s">
        <v>85</v>
      </c>
      <c r="I170" t="str">
        <f>IF(TRIM(sales_dataset[[#This Row],[SalespersonName]])="",I173,PROPER(TRIM(sales_dataset[[#This Row],[SalespersonName]])))</f>
        <v>Sam</v>
      </c>
      <c r="J170" s="1" t="s">
        <v>340</v>
      </c>
      <c r="K170" s="1" t="str">
        <f>PROPER(sales_dataset[[#This Row],[ProductCategory cleaned]])</f>
        <v>Electronics</v>
      </c>
      <c r="L170" s="1" t="str">
        <f>PROPER(sales_dataset[[#This Row],[ProductName]])</f>
        <v>Sofa</v>
      </c>
      <c r="M170">
        <f>ABS(sales_dataset!W:W)</f>
        <v>2</v>
      </c>
      <c r="N170">
        <f>ABS(sales_dataset[[#This Row],[Column4]])</f>
        <v>100</v>
      </c>
      <c r="O170">
        <f t="shared" si="2"/>
        <v>200</v>
      </c>
    </row>
    <row r="171" spans="1:15" x14ac:dyDescent="0.3">
      <c r="A171" s="1" t="s">
        <v>472</v>
      </c>
      <c r="B171" s="2">
        <v>45568</v>
      </c>
      <c r="C171" s="1" t="str">
        <f>IF(TRIM(sales_dataset[[#This Row],[SalesChannel]])="",sales_dataset!C172,PROPER(TRIM(sales_dataset[[#This Row],[SalesChannel]])))</f>
        <v>Offline</v>
      </c>
      <c r="D171" s="1" t="s">
        <v>473</v>
      </c>
      <c r="E171" s="1" t="str">
        <f>IF(TRIM(sales_dataset[[#This Row],[CustomerName]])="",sales_dataset!F177, PROPER(TRIM(sales_dataset[[#This Row],[CustomerName]])))</f>
        <v>Priya</v>
      </c>
      <c r="F171" s="1" t="str">
        <f>IF(TRIM(sales_dataset[[#This Row],[City]])="", sales_dataset!$H$3, PROPER(TRIM(sales_dataset[[#This Row],[City]])))</f>
        <v>Delhi</v>
      </c>
      <c r="G171" t="str">
        <f>PROPER(sales_dataset[[#This Row],[Region cleaned]])</f>
        <v>North</v>
      </c>
      <c r="H171" t="s">
        <v>111</v>
      </c>
      <c r="I171" t="str">
        <f>IF(TRIM(sales_dataset[[#This Row],[SalespersonName]])="",I174,PROPER(TRIM(sales_dataset[[#This Row],[SalespersonName]])))</f>
        <v>Anita</v>
      </c>
      <c r="J171" s="1" t="s">
        <v>283</v>
      </c>
      <c r="K171" s="1" t="str">
        <f>PROPER(sales_dataset[[#This Row],[ProductCategory cleaned]])</f>
        <v>Electronics</v>
      </c>
      <c r="L171" s="1" t="str">
        <f>PROPER(sales_dataset[[#This Row],[ProductName]])</f>
        <v>Watch</v>
      </c>
      <c r="M171">
        <f>ABS(sales_dataset!W:W)</f>
        <v>4</v>
      </c>
      <c r="N171">
        <f>ABS(sales_dataset[[#This Row],[Column4]])</f>
        <v>2000</v>
      </c>
      <c r="O171">
        <f t="shared" si="2"/>
        <v>8000</v>
      </c>
    </row>
    <row r="172" spans="1:15" x14ac:dyDescent="0.3">
      <c r="A172" s="1" t="s">
        <v>474</v>
      </c>
      <c r="B172" s="2">
        <v>45394</v>
      </c>
      <c r="C172" s="1" t="str">
        <f>IF(TRIM(sales_dataset[[#This Row],[SalesChannel]])="",sales_dataset!C173,PROPER(TRIM(sales_dataset[[#This Row],[SalesChannel]])))</f>
        <v>Store</v>
      </c>
      <c r="D172" s="1" t="s">
        <v>475</v>
      </c>
      <c r="E172" s="1" t="str">
        <f>IF(TRIM(sales_dataset[[#This Row],[CustomerName]])="",sales_dataset!F178, PROPER(TRIM(sales_dataset[[#This Row],[CustomerName]])))</f>
        <v>John</v>
      </c>
      <c r="F172" s="1" t="str">
        <f>IF(TRIM(sales_dataset[[#This Row],[City]])="", sales_dataset!$H$3, PROPER(TRIM(sales_dataset[[#This Row],[City]])))</f>
        <v>Hyderabad</v>
      </c>
      <c r="G172" t="str">
        <f>PROPER(sales_dataset[[#This Row],[Region cleaned]])</f>
        <v>East</v>
      </c>
      <c r="H172" t="s">
        <v>413</v>
      </c>
      <c r="I172" t="str">
        <f>IF(TRIM(sales_dataset[[#This Row],[SalespersonName]])="",I175,PROPER(TRIM(sales_dataset[[#This Row],[SalespersonName]])))</f>
        <v>Anita</v>
      </c>
      <c r="J172" s="1" t="s">
        <v>234</v>
      </c>
      <c r="K172" s="1" t="str">
        <f>PROPER(sales_dataset[[#This Row],[ProductCategory cleaned]])</f>
        <v>Electronics</v>
      </c>
      <c r="L172" s="1" t="str">
        <f>PROPER(sales_dataset[[#This Row],[ProductName]])</f>
        <v>Shirt</v>
      </c>
      <c r="M172">
        <f>ABS(sales_dataset!W:W)</f>
        <v>1</v>
      </c>
      <c r="N172">
        <f>ABS(sales_dataset[[#This Row],[Column4]])</f>
        <v>100</v>
      </c>
      <c r="O172">
        <f t="shared" si="2"/>
        <v>100</v>
      </c>
    </row>
    <row r="173" spans="1:15" x14ac:dyDescent="0.3">
      <c r="A173" s="1" t="s">
        <v>476</v>
      </c>
      <c r="B173" s="2">
        <v>45451</v>
      </c>
      <c r="C173" s="1" t="str">
        <f>IF(TRIM(sales_dataset[[#This Row],[SalesChannel]])="",sales_dataset!C174,PROPER(TRIM(sales_dataset[[#This Row],[SalesChannel]])))</f>
        <v>Store</v>
      </c>
      <c r="D173" s="1" t="s">
        <v>203</v>
      </c>
      <c r="E173" s="1" t="str">
        <f>IF(TRIM(sales_dataset[[#This Row],[CustomerName]])="",sales_dataset!F179, PROPER(TRIM(sales_dataset[[#This Row],[CustomerName]])))</f>
        <v>Sara</v>
      </c>
      <c r="F173" s="1" t="str">
        <f>IF(TRIM(sales_dataset[[#This Row],[City]])="", sales_dataset!$H$3, PROPER(TRIM(sales_dataset[[#This Row],[City]])))</f>
        <v>Delhi</v>
      </c>
      <c r="G173" t="str">
        <f>PROPER(sales_dataset[[#This Row],[Region cleaned]])</f>
        <v>North</v>
      </c>
      <c r="H173" t="s">
        <v>190</v>
      </c>
      <c r="I173" t="str">
        <f>IF(TRIM(sales_dataset[[#This Row],[SalespersonName]])="",I176,PROPER(TRIM(sales_dataset[[#This Row],[SalespersonName]])))</f>
        <v>Raj</v>
      </c>
      <c r="J173" s="1" t="s">
        <v>477</v>
      </c>
      <c r="K173" s="1" t="str">
        <f>PROPER(sales_dataset[[#This Row],[ProductCategory cleaned]])</f>
        <v>Home</v>
      </c>
      <c r="L173" s="1" t="str">
        <f>PROPER(sales_dataset[[#This Row],[ProductName]])</f>
        <v/>
      </c>
      <c r="M173">
        <f>ABS(sales_dataset!W:W)</f>
        <v>1</v>
      </c>
      <c r="N173">
        <f>ABS(sales_dataset[[#This Row],[Column4]])</f>
        <v>2000</v>
      </c>
      <c r="O173">
        <f t="shared" si="2"/>
        <v>2000</v>
      </c>
    </row>
    <row r="174" spans="1:15" x14ac:dyDescent="0.3">
      <c r="A174" s="1" t="s">
        <v>478</v>
      </c>
      <c r="B174" s="2">
        <v>45496</v>
      </c>
      <c r="C174" s="1" t="str">
        <f>IF(TRIM(sales_dataset[[#This Row],[SalesChannel]])="",sales_dataset!C175,PROPER(TRIM(sales_dataset[[#This Row],[SalesChannel]])))</f>
        <v>Online</v>
      </c>
      <c r="D174" s="1" t="s">
        <v>479</v>
      </c>
      <c r="E174" s="1" t="str">
        <f>IF(TRIM(sales_dataset[[#This Row],[CustomerName]])="",sales_dataset!F180, PROPER(TRIM(sales_dataset[[#This Row],[CustomerName]])))</f>
        <v>Priya</v>
      </c>
      <c r="F174" s="1" t="str">
        <f>IF(TRIM(sales_dataset[[#This Row],[City]])="", sales_dataset!$H$3, PROPER(TRIM(sales_dataset[[#This Row],[City]])))</f>
        <v>Delhi</v>
      </c>
      <c r="G174" t="str">
        <f>PROPER(sales_dataset[[#This Row],[Region cleaned]])</f>
        <v>North</v>
      </c>
      <c r="H174" t="s">
        <v>111</v>
      </c>
      <c r="I174" t="str">
        <f>IF(TRIM(sales_dataset[[#This Row],[SalespersonName]])="",I177,PROPER(TRIM(sales_dataset[[#This Row],[SalespersonName]])))</f>
        <v>Megha</v>
      </c>
      <c r="J174" s="1" t="s">
        <v>480</v>
      </c>
      <c r="K174" s="1" t="str">
        <f>PROPER(sales_dataset[[#This Row],[ProductCategory cleaned]])</f>
        <v>Clothing</v>
      </c>
      <c r="L174" s="1" t="str">
        <f>PROPER(sales_dataset[[#This Row],[ProductName]])</f>
        <v>Shirt</v>
      </c>
      <c r="M174">
        <f>ABS(sales_dataset!W:W)</f>
        <v>5</v>
      </c>
      <c r="N174">
        <f>ABS(sales_dataset[[#This Row],[Column4]])</f>
        <v>2500</v>
      </c>
      <c r="O174">
        <f t="shared" si="2"/>
        <v>12500</v>
      </c>
    </row>
    <row r="175" spans="1:15" x14ac:dyDescent="0.3">
      <c r="A175" s="1" t="s">
        <v>481</v>
      </c>
      <c r="B175" s="2">
        <v>45483</v>
      </c>
      <c r="C175" s="1" t="str">
        <f>IF(TRIM(sales_dataset[[#This Row],[SalesChannel]])="",sales_dataset!C176,PROPER(TRIM(sales_dataset[[#This Row],[SalesChannel]])))</f>
        <v>Online</v>
      </c>
      <c r="D175" s="1" t="s">
        <v>369</v>
      </c>
      <c r="E175" s="1" t="str">
        <f>IF(TRIM(sales_dataset[[#This Row],[CustomerName]])="",sales_dataset!F181, PROPER(TRIM(sales_dataset[[#This Row],[CustomerName]])))</f>
        <v>Priya</v>
      </c>
      <c r="F175" s="1" t="str">
        <f>IF(TRIM(sales_dataset[[#This Row],[City]])="", sales_dataset!$H$3, PROPER(TRIM(sales_dataset[[#This Row],[City]])))</f>
        <v>Hyderabad</v>
      </c>
      <c r="G175" t="str">
        <f>PROPER(sales_dataset[[#This Row],[Region cleaned]])</f>
        <v>North</v>
      </c>
      <c r="H175" t="s">
        <v>152</v>
      </c>
      <c r="I175" t="str">
        <f>IF(TRIM(sales_dataset[[#This Row],[SalespersonName]])="",I178,PROPER(TRIM(sales_dataset[[#This Row],[SalespersonName]])))</f>
        <v>Anita</v>
      </c>
      <c r="J175" s="1" t="s">
        <v>133</v>
      </c>
      <c r="K175" s="1" t="str">
        <f>PROPER(sales_dataset[[#This Row],[ProductCategory cleaned]])</f>
        <v>Home</v>
      </c>
      <c r="L175" s="1" t="str">
        <f>PROPER(sales_dataset[[#This Row],[ProductName]])</f>
        <v>Watch</v>
      </c>
      <c r="M175">
        <f>ABS(sales_dataset!W:W)</f>
        <v>1</v>
      </c>
      <c r="N175">
        <f>ABS(sales_dataset[[#This Row],[Column4]])</f>
        <v>2000</v>
      </c>
      <c r="O175">
        <f t="shared" si="2"/>
        <v>2000</v>
      </c>
    </row>
    <row r="176" spans="1:15" x14ac:dyDescent="0.3">
      <c r="A176" s="1" t="s">
        <v>482</v>
      </c>
      <c r="B176" s="2">
        <v>45516</v>
      </c>
      <c r="C176" s="1" t="str">
        <f>IF(TRIM(sales_dataset[[#This Row],[SalesChannel]])="",sales_dataset!C177,PROPER(TRIM(sales_dataset[[#This Row],[SalesChannel]])))</f>
        <v>Online</v>
      </c>
      <c r="D176" s="1" t="s">
        <v>483</v>
      </c>
      <c r="E176" s="1" t="str">
        <f>IF(TRIM(sales_dataset[[#This Row],[CustomerName]])="",sales_dataset!F182, PROPER(TRIM(sales_dataset[[#This Row],[CustomerName]])))</f>
        <v>John</v>
      </c>
      <c r="F176" s="1" t="str">
        <f>IF(TRIM(sales_dataset[[#This Row],[City]])="", sales_dataset!$H$3, PROPER(TRIM(sales_dataset[[#This Row],[City]])))</f>
        <v>Hyderabad</v>
      </c>
      <c r="G176" t="str">
        <f>PROPER(sales_dataset[[#This Row],[Region cleaned]])</f>
        <v>North</v>
      </c>
      <c r="H176" t="s">
        <v>427</v>
      </c>
      <c r="I176" t="str">
        <f>IF(TRIM(sales_dataset[[#This Row],[SalespersonName]])="",I179,PROPER(TRIM(sales_dataset[[#This Row],[SalespersonName]])))</f>
        <v>Kevin</v>
      </c>
      <c r="J176" s="1" t="s">
        <v>377</v>
      </c>
      <c r="K176" s="1" t="str">
        <f>PROPER(sales_dataset[[#This Row],[ProductCategory cleaned]])</f>
        <v>Electronics</v>
      </c>
      <c r="L176" s="1" t="str">
        <f>PROPER(sales_dataset[[#This Row],[ProductName]])</f>
        <v>Sofa</v>
      </c>
      <c r="M176">
        <f>ABS(sales_dataset!W:W)</f>
        <v>5</v>
      </c>
      <c r="N176">
        <f>ABS(sales_dataset[[#This Row],[Column4]])</f>
        <v>500</v>
      </c>
      <c r="O176">
        <f t="shared" si="2"/>
        <v>2500</v>
      </c>
    </row>
    <row r="177" spans="1:15" x14ac:dyDescent="0.3">
      <c r="A177" s="1" t="s">
        <v>484</v>
      </c>
      <c r="B177" s="2">
        <v>45556</v>
      </c>
      <c r="C177" s="1" t="str">
        <f>IF(TRIM(sales_dataset[[#This Row],[SalesChannel]])="",sales_dataset!C178,PROPER(TRIM(sales_dataset[[#This Row],[SalesChannel]])))</f>
        <v>Offline</v>
      </c>
      <c r="D177" s="1" t="s">
        <v>483</v>
      </c>
      <c r="E177" s="1" t="str">
        <f>IF(TRIM(sales_dataset[[#This Row],[CustomerName]])="",sales_dataset!F183, PROPER(TRIM(sales_dataset[[#This Row],[CustomerName]])))</f>
        <v>Amit</v>
      </c>
      <c r="F177" s="1" t="str">
        <f>IF(TRIM(sales_dataset[[#This Row],[City]])="", sales_dataset!$H$3, PROPER(TRIM(sales_dataset[[#This Row],[City]])))</f>
        <v>Mumbai</v>
      </c>
      <c r="G177" t="str">
        <f>PROPER(sales_dataset[[#This Row],[Region cleaned]])</f>
        <v>North</v>
      </c>
      <c r="H177" t="s">
        <v>107</v>
      </c>
      <c r="I177" t="str">
        <f>IF(TRIM(sales_dataset[[#This Row],[SalespersonName]])="",I180,PROPER(TRIM(sales_dataset[[#This Row],[SalespersonName]])))</f>
        <v>Megha</v>
      </c>
      <c r="J177" s="1" t="s">
        <v>174</v>
      </c>
      <c r="K177" s="1" t="str">
        <f>PROPER(sales_dataset[[#This Row],[ProductCategory cleaned]])</f>
        <v>Home</v>
      </c>
      <c r="L177" s="1" t="str">
        <f>PROPER(sales_dataset[[#This Row],[ProductName]])</f>
        <v/>
      </c>
      <c r="M177">
        <f>ABS(sales_dataset!W:W)</f>
        <v>1</v>
      </c>
      <c r="N177">
        <f>ABS(sales_dataset[[#This Row],[Column4]])</f>
        <v>2000</v>
      </c>
      <c r="O177">
        <f t="shared" si="2"/>
        <v>2000</v>
      </c>
    </row>
    <row r="178" spans="1:15" x14ac:dyDescent="0.3">
      <c r="A178" s="1" t="s">
        <v>485</v>
      </c>
      <c r="B178" s="2">
        <v>45523</v>
      </c>
      <c r="C178" s="1" t="str">
        <f>IF(TRIM(sales_dataset[[#This Row],[SalesChannel]])="",sales_dataset!C179,PROPER(TRIM(sales_dataset[[#This Row],[SalesChannel]])))</f>
        <v>Store</v>
      </c>
      <c r="D178" s="1" t="s">
        <v>333</v>
      </c>
      <c r="E178" s="1" t="str">
        <f>IF(TRIM(sales_dataset[[#This Row],[CustomerName]])="",sales_dataset!F184, PROPER(TRIM(sales_dataset[[#This Row],[CustomerName]])))</f>
        <v>Sara</v>
      </c>
      <c r="F178" s="1" t="str">
        <f>IF(TRIM(sales_dataset[[#This Row],[City]])="", sales_dataset!$H$3, PROPER(TRIM(sales_dataset[[#This Row],[City]])))</f>
        <v>Mumbai</v>
      </c>
      <c r="G178" t="str">
        <f>PROPER(sales_dataset[[#This Row],[Region cleaned]])</f>
        <v>North</v>
      </c>
      <c r="H178" t="s">
        <v>218</v>
      </c>
      <c r="I178" t="str">
        <f>IF(TRIM(sales_dataset[[#This Row],[SalespersonName]])="",I181,PROPER(TRIM(sales_dataset[[#This Row],[SalespersonName]])))</f>
        <v>Kevin</v>
      </c>
      <c r="J178" s="1" t="s">
        <v>446</v>
      </c>
      <c r="K178" s="1" t="str">
        <f>PROPER(sales_dataset[[#This Row],[ProductCategory cleaned]])</f>
        <v>Electronics</v>
      </c>
      <c r="L178" s="1" t="str">
        <f>PROPER(sales_dataset[[#This Row],[ProductName]])</f>
        <v>Tv</v>
      </c>
      <c r="M178">
        <f>ABS(sales_dataset!W:W)</f>
        <v>3</v>
      </c>
      <c r="N178">
        <f>ABS(sales_dataset[[#This Row],[Column4]])</f>
        <v>500</v>
      </c>
      <c r="O178">
        <f t="shared" si="2"/>
        <v>1500</v>
      </c>
    </row>
    <row r="179" spans="1:15" x14ac:dyDescent="0.3">
      <c r="A179" s="1" t="s">
        <v>486</v>
      </c>
      <c r="B179" s="2">
        <v>45353</v>
      </c>
      <c r="C179" s="1" t="str">
        <f>IF(TRIM(sales_dataset[[#This Row],[SalesChannel]])="",sales_dataset!C180,PROPER(TRIM(sales_dataset[[#This Row],[SalesChannel]])))</f>
        <v>Store</v>
      </c>
      <c r="D179" s="1" t="s">
        <v>487</v>
      </c>
      <c r="E179" s="1" t="str">
        <f>IF(TRIM(sales_dataset[[#This Row],[CustomerName]])="",sales_dataset!F185, PROPER(TRIM(sales_dataset[[#This Row],[CustomerName]])))</f>
        <v>priya</v>
      </c>
      <c r="F179" s="1" t="str">
        <f>IF(TRIM(sales_dataset[[#This Row],[City]])="", sales_dataset!$H$3, PROPER(TRIM(sales_dataset[[#This Row],[City]])))</f>
        <v>Hyderabad</v>
      </c>
      <c r="G179" t="str">
        <f>PROPER(sales_dataset[[#This Row],[Region cleaned]])</f>
        <v>North</v>
      </c>
      <c r="H179" t="s">
        <v>376</v>
      </c>
      <c r="I179" t="str">
        <f>IF(TRIM(sales_dataset[[#This Row],[SalespersonName]])="",I182,PROPER(TRIM(sales_dataset[[#This Row],[SalespersonName]])))</f>
        <v>Kevin</v>
      </c>
      <c r="J179" s="1" t="s">
        <v>248</v>
      </c>
      <c r="K179" s="1" t="str">
        <f>PROPER(sales_dataset[[#This Row],[ProductCategory cleaned]])</f>
        <v>Clothing</v>
      </c>
      <c r="L179" s="1" t="str">
        <f>PROPER(sales_dataset[[#This Row],[ProductName]])</f>
        <v/>
      </c>
      <c r="M179">
        <f>ABS(sales_dataset!W:W)</f>
        <v>1</v>
      </c>
      <c r="N179">
        <f>ABS(sales_dataset[[#This Row],[Column4]])</f>
        <v>100</v>
      </c>
      <c r="O179">
        <f t="shared" si="2"/>
        <v>100</v>
      </c>
    </row>
    <row r="180" spans="1:15" x14ac:dyDescent="0.3">
      <c r="A180" s="1" t="s">
        <v>488</v>
      </c>
      <c r="B180" s="2">
        <v>45418</v>
      </c>
      <c r="C180" s="1" t="str">
        <f>IF(TRIM(sales_dataset[[#This Row],[SalesChannel]])="",sales_dataset!C181,PROPER(TRIM(sales_dataset[[#This Row],[SalesChannel]])))</f>
        <v>Online</v>
      </c>
      <c r="D180" s="1" t="s">
        <v>466</v>
      </c>
      <c r="E180" s="1" t="str">
        <f>IF(TRIM(sales_dataset[[#This Row],[CustomerName]])="",sales_dataset!F186, PROPER(TRIM(sales_dataset[[#This Row],[CustomerName]])))</f>
        <v>Priya</v>
      </c>
      <c r="F180" s="1" t="str">
        <f>IF(TRIM(sales_dataset[[#This Row],[City]])="", sales_dataset!$H$3, PROPER(TRIM(sales_dataset[[#This Row],[City]])))</f>
        <v>Mumbai</v>
      </c>
      <c r="G180" t="str">
        <f>PROPER(sales_dataset[[#This Row],[Region cleaned]])</f>
        <v>West</v>
      </c>
      <c r="H180" t="s">
        <v>129</v>
      </c>
      <c r="I180" t="str">
        <f>IF(TRIM(sales_dataset[[#This Row],[SalespersonName]])="",I183,PROPER(TRIM(sales_dataset[[#This Row],[SalespersonName]])))</f>
        <v>Anita</v>
      </c>
      <c r="J180" s="1" t="s">
        <v>311</v>
      </c>
      <c r="K180" s="1" t="str">
        <f>PROPER(sales_dataset[[#This Row],[ProductCategory cleaned]])</f>
        <v>Electronics</v>
      </c>
      <c r="L180" s="1" t="str">
        <f>PROPER(sales_dataset[[#This Row],[ProductName]])</f>
        <v>Shirt</v>
      </c>
      <c r="M180">
        <f>ABS(sales_dataset!W:W)</f>
        <v>1</v>
      </c>
      <c r="N180">
        <f>ABS(sales_dataset[[#This Row],[Column4]])</f>
        <v>2000</v>
      </c>
      <c r="O180">
        <f t="shared" si="2"/>
        <v>2000</v>
      </c>
    </row>
    <row r="181" spans="1:15" x14ac:dyDescent="0.3">
      <c r="A181" s="1" t="s">
        <v>489</v>
      </c>
      <c r="B181" s="2">
        <v>45407</v>
      </c>
      <c r="C181" s="1" t="str">
        <f>IF(TRIM(sales_dataset[[#This Row],[SalesChannel]])="",sales_dataset!C182,PROPER(TRIM(sales_dataset[[#This Row],[SalesChannel]])))</f>
        <v>Online</v>
      </c>
      <c r="D181" s="1" t="s">
        <v>65</v>
      </c>
      <c r="E181" s="1" t="str">
        <f>IF(TRIM(sales_dataset[[#This Row],[CustomerName]])="",sales_dataset!F187, PROPER(TRIM(sales_dataset[[#This Row],[CustomerName]])))</f>
        <v>Priya</v>
      </c>
      <c r="F181" s="1" t="str">
        <f>IF(TRIM(sales_dataset[[#This Row],[City]])="", sales_dataset!$H$3, PROPER(TRIM(sales_dataset[[#This Row],[City]])))</f>
        <v>Hyderabad</v>
      </c>
      <c r="G181" t="str">
        <f>PROPER(sales_dataset[[#This Row],[Region cleaned]])</f>
        <v>West</v>
      </c>
      <c r="H181" t="s">
        <v>93</v>
      </c>
      <c r="I181" t="str">
        <f>IF(TRIM(sales_dataset[[#This Row],[SalespersonName]])="",I184,PROPER(TRIM(sales_dataset[[#This Row],[SalespersonName]])))</f>
        <v>Raj</v>
      </c>
      <c r="J181" s="1" t="s">
        <v>40</v>
      </c>
      <c r="K181" s="1" t="str">
        <f>PROPER(sales_dataset[[#This Row],[ProductCategory cleaned]])</f>
        <v>Home</v>
      </c>
      <c r="L181" s="1" t="str">
        <f>PROPER(sales_dataset[[#This Row],[ProductName]])</f>
        <v>Watch</v>
      </c>
      <c r="M181">
        <f>ABS(sales_dataset!W:W)</f>
        <v>1</v>
      </c>
      <c r="N181">
        <f>ABS(sales_dataset[[#This Row],[Column4]])</f>
        <v>1500</v>
      </c>
      <c r="O181">
        <f t="shared" si="2"/>
        <v>1500</v>
      </c>
    </row>
    <row r="182" spans="1:15" x14ac:dyDescent="0.3">
      <c r="A182" s="1" t="s">
        <v>490</v>
      </c>
      <c r="B182" s="2">
        <v>45324</v>
      </c>
      <c r="C182" s="1" t="str">
        <f>IF(TRIM(sales_dataset[[#This Row],[SalesChannel]])="",sales_dataset!C183,PROPER(TRIM(sales_dataset[[#This Row],[SalesChannel]])))</f>
        <v>Online</v>
      </c>
      <c r="D182" s="1" t="s">
        <v>491</v>
      </c>
      <c r="E182" s="1" t="str">
        <f>IF(TRIM(sales_dataset[[#This Row],[CustomerName]])="",sales_dataset!F188, PROPER(TRIM(sales_dataset[[#This Row],[CustomerName]])))</f>
        <v>David</v>
      </c>
      <c r="F182" s="1" t="str">
        <f>IF(TRIM(sales_dataset[[#This Row],[City]])="", sales_dataset!$H$3, PROPER(TRIM(sales_dataset[[#This Row],[City]])))</f>
        <v>Mumbai</v>
      </c>
      <c r="G182" t="str">
        <f>PROPER(sales_dataset[[#This Row],[Region cleaned]])</f>
        <v>North</v>
      </c>
      <c r="H182" t="s">
        <v>343</v>
      </c>
      <c r="I182" t="str">
        <f>IF(TRIM(sales_dataset[[#This Row],[SalespersonName]])="",I185,PROPER(TRIM(sales_dataset[[#This Row],[SalespersonName]])))</f>
        <v>Sam</v>
      </c>
      <c r="J182" s="1" t="s">
        <v>340</v>
      </c>
      <c r="K182" s="1" t="str">
        <f>PROPER(sales_dataset[[#This Row],[ProductCategory cleaned]])</f>
        <v>Clothing</v>
      </c>
      <c r="L182" s="1" t="str">
        <f>PROPER(sales_dataset[[#This Row],[ProductName]])</f>
        <v>Watch</v>
      </c>
      <c r="M182">
        <f>ABS(sales_dataset!W:W)</f>
        <v>4</v>
      </c>
      <c r="N182">
        <f>ABS(sales_dataset[[#This Row],[Column4]])</f>
        <v>1500</v>
      </c>
      <c r="O182">
        <f t="shared" si="2"/>
        <v>6000</v>
      </c>
    </row>
    <row r="183" spans="1:15" x14ac:dyDescent="0.3">
      <c r="A183" s="1" t="s">
        <v>492</v>
      </c>
      <c r="B183" s="2">
        <v>45465</v>
      </c>
      <c r="C183" s="1" t="str">
        <f>IF(TRIM(sales_dataset[[#This Row],[SalesChannel]])="",sales_dataset!C184,PROPER(TRIM(sales_dataset[[#This Row],[SalesChannel]])))</f>
        <v>Offline</v>
      </c>
      <c r="D183" s="1" t="s">
        <v>493</v>
      </c>
      <c r="E183" s="1" t="str">
        <f>IF(TRIM(sales_dataset[[#This Row],[CustomerName]])="",sales_dataset!F189, PROPER(TRIM(sales_dataset[[#This Row],[CustomerName]])))</f>
        <v>Priya</v>
      </c>
      <c r="F183" s="1" t="str">
        <f>IF(TRIM(sales_dataset[[#This Row],[City]])="", sales_dataset!$H$3, PROPER(TRIM(sales_dataset[[#This Row],[City]])))</f>
        <v>Delhi</v>
      </c>
      <c r="G183" t="str">
        <f>PROPER(sales_dataset[[#This Row],[Region cleaned]])</f>
        <v>East</v>
      </c>
      <c r="H183" t="s">
        <v>237</v>
      </c>
      <c r="I183" t="str">
        <f>IF(TRIM(sales_dataset[[#This Row],[SalespersonName]])="",I186,PROPER(TRIM(sales_dataset[[#This Row],[SalespersonName]])))</f>
        <v>Megha</v>
      </c>
      <c r="J183" s="1" t="s">
        <v>327</v>
      </c>
      <c r="K183" s="1" t="str">
        <f>PROPER(sales_dataset[[#This Row],[ProductCategory cleaned]])</f>
        <v>Electronics</v>
      </c>
      <c r="L183" s="1" t="str">
        <f>PROPER(sales_dataset[[#This Row],[ProductName]])</f>
        <v>Watch</v>
      </c>
      <c r="M183">
        <f>ABS(sales_dataset!W:W)</f>
        <v>2</v>
      </c>
      <c r="N183">
        <f>ABS(sales_dataset[[#This Row],[Column4]])</f>
        <v>1500</v>
      </c>
      <c r="O183">
        <f t="shared" si="2"/>
        <v>3000</v>
      </c>
    </row>
    <row r="184" spans="1:15" x14ac:dyDescent="0.3">
      <c r="A184" s="1" t="s">
        <v>494</v>
      </c>
      <c r="B184" s="2">
        <v>45302</v>
      </c>
      <c r="C184" s="1" t="str">
        <f>IF(TRIM(sales_dataset[[#This Row],[SalesChannel]])="",sales_dataset!C185,PROPER(TRIM(sales_dataset[[#This Row],[SalesChannel]])))</f>
        <v>Store</v>
      </c>
      <c r="D184" s="1" t="s">
        <v>59</v>
      </c>
      <c r="E184" s="1" t="str">
        <f>IF(TRIM(sales_dataset[[#This Row],[CustomerName]])="",sales_dataset!F190, PROPER(TRIM(sales_dataset[[#This Row],[CustomerName]])))</f>
        <v>Sara</v>
      </c>
      <c r="F184" s="1" t="str">
        <f>IF(TRIM(sales_dataset[[#This Row],[City]])="", sales_dataset!$H$3, PROPER(TRIM(sales_dataset[[#This Row],[City]])))</f>
        <v>Mumbai</v>
      </c>
      <c r="G184" t="str">
        <f>PROPER(sales_dataset[[#This Row],[Region cleaned]])</f>
        <v>West</v>
      </c>
      <c r="H184" t="s">
        <v>350</v>
      </c>
      <c r="I184" t="str">
        <f>IF(TRIM(sales_dataset[[#This Row],[SalespersonName]])="",I187,PROPER(TRIM(sales_dataset[[#This Row],[SalespersonName]])))</f>
        <v>Kevin</v>
      </c>
      <c r="J184" s="1" t="s">
        <v>238</v>
      </c>
      <c r="K184" s="1" t="str">
        <f>PROPER(sales_dataset[[#This Row],[ProductCategory cleaned]])</f>
        <v>Clothing</v>
      </c>
      <c r="L184" s="1" t="str">
        <f>PROPER(sales_dataset[[#This Row],[ProductName]])</f>
        <v/>
      </c>
      <c r="M184">
        <f>ABS(sales_dataset!W:W)</f>
        <v>5</v>
      </c>
      <c r="N184">
        <f>ABS(sales_dataset[[#This Row],[Column4]])</f>
        <v>0</v>
      </c>
      <c r="O184">
        <f t="shared" si="2"/>
        <v>0</v>
      </c>
    </row>
    <row r="185" spans="1:15" x14ac:dyDescent="0.3">
      <c r="A185" s="1" t="s">
        <v>495</v>
      </c>
      <c r="B185" s="2">
        <v>45575</v>
      </c>
      <c r="C185" s="1" t="str">
        <f>IF(TRIM(sales_dataset[[#This Row],[SalesChannel]])="",sales_dataset!C186,PROPER(TRIM(sales_dataset[[#This Row],[SalesChannel]])))</f>
        <v>Store</v>
      </c>
      <c r="D185" s="1" t="s">
        <v>496</v>
      </c>
      <c r="E185" s="1" t="str">
        <f>IF(TRIM(sales_dataset[[#This Row],[CustomerName]])="",sales_dataset!F191, PROPER(TRIM(sales_dataset[[#This Row],[CustomerName]])))</f>
        <v>Priya</v>
      </c>
      <c r="F185" s="1" t="str">
        <f>IF(TRIM(sales_dataset[[#This Row],[City]])="", sales_dataset!$H$3, PROPER(TRIM(sales_dataset[[#This Row],[City]])))</f>
        <v>Bengaluru</v>
      </c>
      <c r="G185" t="str">
        <f>PROPER(sales_dataset[[#This Row],[Region cleaned]])</f>
        <v>East</v>
      </c>
      <c r="H185" t="s">
        <v>190</v>
      </c>
      <c r="I185" t="str">
        <f>IF(TRIM(sales_dataset[[#This Row],[SalespersonName]])="",I188,PROPER(TRIM(sales_dataset[[#This Row],[SalespersonName]])))</f>
        <v>Megha</v>
      </c>
      <c r="J185" s="1" t="s">
        <v>353</v>
      </c>
      <c r="K185" s="1" t="str">
        <f>PROPER(sales_dataset[[#This Row],[ProductCategory cleaned]])</f>
        <v>Electronics</v>
      </c>
      <c r="L185" s="1" t="str">
        <f>PROPER(sales_dataset[[#This Row],[ProductName]])</f>
        <v>Sofa</v>
      </c>
      <c r="M185">
        <f>ABS(sales_dataset!W:W)</f>
        <v>2</v>
      </c>
      <c r="N185">
        <f>ABS(sales_dataset[[#This Row],[Column4]])</f>
        <v>500</v>
      </c>
      <c r="O185">
        <f t="shared" si="2"/>
        <v>1000</v>
      </c>
    </row>
    <row r="186" spans="1:15" x14ac:dyDescent="0.3">
      <c r="A186" s="1" t="s">
        <v>497</v>
      </c>
      <c r="B186" s="2">
        <v>45409</v>
      </c>
      <c r="C186" s="1" t="str">
        <f>IF(TRIM(sales_dataset[[#This Row],[SalesChannel]])="",sales_dataset!C187,PROPER(TRIM(sales_dataset[[#This Row],[SalesChannel]])))</f>
        <v>Online</v>
      </c>
      <c r="D186" s="1" t="s">
        <v>381</v>
      </c>
      <c r="E186" s="1" t="str">
        <f>IF(TRIM(sales_dataset[[#This Row],[CustomerName]])="",sales_dataset!F192, PROPER(TRIM(sales_dataset[[#This Row],[CustomerName]])))</f>
        <v>Amit</v>
      </c>
      <c r="F186" s="1" t="str">
        <f>IF(TRIM(sales_dataset[[#This Row],[City]])="", sales_dataset!$H$3, PROPER(TRIM(sales_dataset[[#This Row],[City]])))</f>
        <v>Mumbai</v>
      </c>
      <c r="G186" t="str">
        <f>PROPER(sales_dataset[[#This Row],[Region cleaned]])</f>
        <v>East</v>
      </c>
      <c r="H186" t="s">
        <v>20</v>
      </c>
      <c r="I186" t="str">
        <f>IF(TRIM(sales_dataset[[#This Row],[SalespersonName]])="",I189,PROPER(TRIM(sales_dataset[[#This Row],[SalespersonName]])))</f>
        <v>Raj</v>
      </c>
      <c r="J186" s="1" t="s">
        <v>498</v>
      </c>
      <c r="K186" s="1" t="str">
        <f>PROPER(sales_dataset[[#This Row],[ProductCategory cleaned]])</f>
        <v>Clothing</v>
      </c>
      <c r="L186" s="1" t="str">
        <f>PROPER(sales_dataset[[#This Row],[ProductName]])</f>
        <v>Tv</v>
      </c>
      <c r="M186">
        <f>ABS(sales_dataset!W:W)</f>
        <v>1</v>
      </c>
      <c r="N186">
        <f>ABS(sales_dataset[[#This Row],[Column4]])</f>
        <v>2500</v>
      </c>
      <c r="O186">
        <f t="shared" si="2"/>
        <v>2500</v>
      </c>
    </row>
    <row r="187" spans="1:15" x14ac:dyDescent="0.3">
      <c r="A187" s="1" t="s">
        <v>499</v>
      </c>
      <c r="B187" s="2">
        <v>45404</v>
      </c>
      <c r="C187" s="1" t="str">
        <f>IF(TRIM(sales_dataset[[#This Row],[SalesChannel]])="",sales_dataset!C188,PROPER(TRIM(sales_dataset[[#This Row],[SalesChannel]])))</f>
        <v>Online</v>
      </c>
      <c r="D187" s="1" t="s">
        <v>493</v>
      </c>
      <c r="E187" s="1" t="str">
        <f>IF(TRIM(sales_dataset[[#This Row],[CustomerName]])="",sales_dataset!F193, PROPER(TRIM(sales_dataset[[#This Row],[CustomerName]])))</f>
        <v>Sara</v>
      </c>
      <c r="F187" s="1" t="str">
        <f>IF(TRIM(sales_dataset[[#This Row],[City]])="", sales_dataset!$H$3, PROPER(TRIM(sales_dataset[[#This Row],[City]])))</f>
        <v>Delhi</v>
      </c>
      <c r="G187" t="str">
        <f>PROPER(sales_dataset[[#This Row],[Region cleaned]])</f>
        <v>East</v>
      </c>
      <c r="H187" t="s">
        <v>38</v>
      </c>
      <c r="I187" t="str">
        <f>IF(TRIM(sales_dataset[[#This Row],[SalespersonName]])="",I190,PROPER(TRIM(sales_dataset[[#This Row],[SalespersonName]])))</f>
        <v>Kevin</v>
      </c>
      <c r="J187" s="1" t="s">
        <v>404</v>
      </c>
      <c r="K187" s="1" t="str">
        <f>PROPER(sales_dataset[[#This Row],[ProductCategory cleaned]])</f>
        <v>Clothing</v>
      </c>
      <c r="L187" s="1" t="str">
        <f>PROPER(sales_dataset[[#This Row],[ProductName]])</f>
        <v>Sofa</v>
      </c>
      <c r="M187">
        <f>ABS(sales_dataset!W:W)</f>
        <v>3</v>
      </c>
      <c r="N187">
        <f>ABS(sales_dataset[[#This Row],[Column4]])</f>
        <v>1500</v>
      </c>
      <c r="O187">
        <f t="shared" si="2"/>
        <v>4500</v>
      </c>
    </row>
    <row r="188" spans="1:15" x14ac:dyDescent="0.3">
      <c r="A188" s="1" t="s">
        <v>500</v>
      </c>
      <c r="B188" s="2">
        <v>45295</v>
      </c>
      <c r="C188" s="1" t="str">
        <f>IF(TRIM(sales_dataset[[#This Row],[SalesChannel]])="",sales_dataset!C189,PROPER(TRIM(sales_dataset[[#This Row],[SalesChannel]])))</f>
        <v>Online</v>
      </c>
      <c r="D188" s="1" t="s">
        <v>315</v>
      </c>
      <c r="E188" s="1" t="str">
        <f>IF(TRIM(sales_dataset[[#This Row],[CustomerName]])="",sales_dataset!F194, PROPER(TRIM(sales_dataset[[#This Row],[CustomerName]])))</f>
        <v>Priya</v>
      </c>
      <c r="F188" s="1" t="str">
        <f>IF(TRIM(sales_dataset[[#This Row],[City]])="", sales_dataset!$H$3, PROPER(TRIM(sales_dataset[[#This Row],[City]])))</f>
        <v>Bengaluru</v>
      </c>
      <c r="G188" t="str">
        <f>PROPER(sales_dataset[[#This Row],[Region cleaned]])</f>
        <v>North</v>
      </c>
      <c r="H188" t="s">
        <v>501</v>
      </c>
      <c r="I188" t="str">
        <f>IF(TRIM(sales_dataset[[#This Row],[SalespersonName]])="",I191,PROPER(TRIM(sales_dataset[[#This Row],[SalespersonName]])))</f>
        <v>Sam</v>
      </c>
      <c r="J188" s="1" t="s">
        <v>123</v>
      </c>
      <c r="K188" s="1" t="str">
        <f>PROPER(sales_dataset[[#This Row],[ProductCategory cleaned]])</f>
        <v>Electronics</v>
      </c>
      <c r="L188" s="1" t="str">
        <f>PROPER(sales_dataset[[#This Row],[ProductName]])</f>
        <v>Laptop</v>
      </c>
      <c r="M188">
        <f>ABS(sales_dataset!W:W)</f>
        <v>1</v>
      </c>
      <c r="N188">
        <f>ABS(sales_dataset[[#This Row],[Column4]])</f>
        <v>2500</v>
      </c>
      <c r="O188">
        <f t="shared" si="2"/>
        <v>2500</v>
      </c>
    </row>
    <row r="189" spans="1:15" x14ac:dyDescent="0.3">
      <c r="A189" s="1" t="s">
        <v>502</v>
      </c>
      <c r="B189" s="2">
        <v>45328</v>
      </c>
      <c r="C189" s="1" t="str">
        <f>IF(TRIM(sales_dataset[[#This Row],[SalesChannel]])="",sales_dataset!C190,PROPER(TRIM(sales_dataset[[#This Row],[SalesChannel]])))</f>
        <v>Offline</v>
      </c>
      <c r="D189" s="1" t="s">
        <v>362</v>
      </c>
      <c r="E189" s="1" t="str">
        <f>IF(TRIM(sales_dataset[[#This Row],[CustomerName]])="",sales_dataset!F195, PROPER(TRIM(sales_dataset[[#This Row],[CustomerName]])))</f>
        <v>priya</v>
      </c>
      <c r="F189" s="1" t="str">
        <f>IF(TRIM(sales_dataset[[#This Row],[City]])="", sales_dataset!$H$3, PROPER(TRIM(sales_dataset[[#This Row],[City]])))</f>
        <v>Mumbai</v>
      </c>
      <c r="G189" t="str">
        <f>PROPER(sales_dataset[[#This Row],[Region cleaned]])</f>
        <v>East</v>
      </c>
      <c r="H189" t="s">
        <v>218</v>
      </c>
      <c r="I189" t="str">
        <f>IF(TRIM(sales_dataset[[#This Row],[SalespersonName]])="",I192,PROPER(TRIM(sales_dataset[[#This Row],[SalespersonName]])))</f>
        <v>Sam</v>
      </c>
      <c r="J189" s="1" t="s">
        <v>94</v>
      </c>
      <c r="K189" s="1" t="str">
        <f>PROPER(sales_dataset[[#This Row],[ProductCategory cleaned]])</f>
        <v>Electronics</v>
      </c>
      <c r="L189" s="1" t="str">
        <f>PROPER(sales_dataset[[#This Row],[ProductName]])</f>
        <v>Laptop</v>
      </c>
      <c r="M189">
        <f>ABS(sales_dataset!W:W)</f>
        <v>5</v>
      </c>
      <c r="N189">
        <f>ABS(sales_dataset[[#This Row],[Column4]])</f>
        <v>2500</v>
      </c>
      <c r="O189">
        <f t="shared" si="2"/>
        <v>12500</v>
      </c>
    </row>
    <row r="190" spans="1:15" x14ac:dyDescent="0.3">
      <c r="A190" s="1" t="s">
        <v>503</v>
      </c>
      <c r="B190" s="2">
        <v>45322</v>
      </c>
      <c r="C190" s="1" t="str">
        <f>IF(TRIM(sales_dataset[[#This Row],[SalesChannel]])="",sales_dataset!C191,PROPER(TRIM(sales_dataset[[#This Row],[SalesChannel]])))</f>
        <v>Store</v>
      </c>
      <c r="D190" s="1" t="s">
        <v>504</v>
      </c>
      <c r="E190" s="1" t="str">
        <f>IF(TRIM(sales_dataset[[#This Row],[CustomerName]])="",sales_dataset!F196, PROPER(TRIM(sales_dataset[[#This Row],[CustomerName]])))</f>
        <v>Priya</v>
      </c>
      <c r="F190" s="1" t="str">
        <f>IF(TRIM(sales_dataset[[#This Row],[City]])="", sales_dataset!$H$3, PROPER(TRIM(sales_dataset[[#This Row],[City]])))</f>
        <v>Delhi</v>
      </c>
      <c r="G190" t="str">
        <f>PROPER(sales_dataset[[#This Row],[Region cleaned]])</f>
        <v>North</v>
      </c>
      <c r="H190" t="s">
        <v>350</v>
      </c>
      <c r="I190" t="str">
        <f>IF(TRIM(sales_dataset[[#This Row],[SalespersonName]])="",I193,PROPER(TRIM(sales_dataset[[#This Row],[SalespersonName]])))</f>
        <v>Sam</v>
      </c>
      <c r="J190" s="1" t="s">
        <v>137</v>
      </c>
      <c r="K190" s="1" t="str">
        <f>PROPER(sales_dataset[[#This Row],[ProductCategory cleaned]])</f>
        <v>Electronics</v>
      </c>
      <c r="L190" s="1" t="str">
        <f>PROPER(sales_dataset[[#This Row],[ProductName]])</f>
        <v>Watch</v>
      </c>
      <c r="M190">
        <f>ABS(sales_dataset!W:W)</f>
        <v>2</v>
      </c>
      <c r="N190">
        <f>ABS(sales_dataset[[#This Row],[Column4]])</f>
        <v>500</v>
      </c>
      <c r="O190">
        <f t="shared" si="2"/>
        <v>1000</v>
      </c>
    </row>
    <row r="191" spans="1:15" x14ac:dyDescent="0.3">
      <c r="A191" s="1" t="s">
        <v>505</v>
      </c>
      <c r="B191" s="2">
        <v>45409</v>
      </c>
      <c r="C191" s="1" t="str">
        <f>IF(TRIM(sales_dataset[[#This Row],[SalesChannel]])="",sales_dataset!C192,PROPER(TRIM(sales_dataset[[#This Row],[SalesChannel]])))</f>
        <v>Store</v>
      </c>
      <c r="D191" s="1" t="s">
        <v>506</v>
      </c>
      <c r="E191" s="1" t="str">
        <f>IF(TRIM(sales_dataset[[#This Row],[CustomerName]])="",sales_dataset!F197, PROPER(TRIM(sales_dataset[[#This Row],[CustomerName]])))</f>
        <v/>
      </c>
      <c r="F191" s="1" t="str">
        <f>IF(TRIM(sales_dataset[[#This Row],[City]])="", sales_dataset!$H$3, PROPER(TRIM(sales_dataset[[#This Row],[City]])))</f>
        <v>Bengaluru</v>
      </c>
      <c r="G191" t="str">
        <f>PROPER(sales_dataset[[#This Row],[Region cleaned]])</f>
        <v>East</v>
      </c>
      <c r="H191" t="s">
        <v>103</v>
      </c>
      <c r="I191" t="str">
        <f>IF(TRIM(sales_dataset[[#This Row],[SalespersonName]])="",I194,PROPER(TRIM(sales_dataset[[#This Row],[SalespersonName]])))</f>
        <v>Megha</v>
      </c>
      <c r="J191" s="1" t="s">
        <v>248</v>
      </c>
      <c r="K191" s="1" t="str">
        <f>PROPER(sales_dataset[[#This Row],[ProductCategory cleaned]])</f>
        <v>Clothing</v>
      </c>
      <c r="L191" s="1" t="str">
        <f>PROPER(sales_dataset[[#This Row],[ProductName]])</f>
        <v>Watch</v>
      </c>
      <c r="M191">
        <f>ABS(sales_dataset!W:W)</f>
        <v>3</v>
      </c>
      <c r="N191">
        <f>ABS(sales_dataset[[#This Row],[Column4]])</f>
        <v>2500</v>
      </c>
      <c r="O191">
        <f t="shared" si="2"/>
        <v>7500</v>
      </c>
    </row>
    <row r="192" spans="1:15" x14ac:dyDescent="0.3">
      <c r="A192" s="1" t="s">
        <v>507</v>
      </c>
      <c r="B192" s="2">
        <v>45326</v>
      </c>
      <c r="C192" s="1" t="str">
        <f>IF(TRIM(sales_dataset[[#This Row],[SalesChannel]])="",sales_dataset!C193,PROPER(TRIM(sales_dataset[[#This Row],[SalesChannel]])))</f>
        <v>Online</v>
      </c>
      <c r="D192" s="1" t="s">
        <v>487</v>
      </c>
      <c r="E192" s="1" t="str">
        <f>IF(TRIM(sales_dataset[[#This Row],[CustomerName]])="",sales_dataset!F198, PROPER(TRIM(sales_dataset[[#This Row],[CustomerName]])))</f>
        <v>David</v>
      </c>
      <c r="F192" s="1" t="str">
        <f>IF(TRIM(sales_dataset[[#This Row],[City]])="", sales_dataset!$H$3, PROPER(TRIM(sales_dataset[[#This Row],[City]])))</f>
        <v>Bengaluru</v>
      </c>
      <c r="G192" t="str">
        <f>PROPER(sales_dataset[[#This Row],[Region cleaned]])</f>
        <v>South</v>
      </c>
      <c r="H192" t="s">
        <v>38</v>
      </c>
      <c r="I192" t="str">
        <f>IF(TRIM(sales_dataset[[#This Row],[SalespersonName]])="",I195,PROPER(TRIM(sales_dataset[[#This Row],[SalespersonName]])))</f>
        <v>Anita</v>
      </c>
      <c r="J192" s="1" t="s">
        <v>40</v>
      </c>
      <c r="K192" s="1" t="str">
        <f>PROPER(sales_dataset[[#This Row],[ProductCategory cleaned]])</f>
        <v>Clothing</v>
      </c>
      <c r="L192" s="1" t="str">
        <f>PROPER(sales_dataset[[#This Row],[ProductName]])</f>
        <v>Watch</v>
      </c>
      <c r="M192">
        <f>ABS(sales_dataset!W:W)</f>
        <v>4</v>
      </c>
      <c r="N192">
        <f>ABS(sales_dataset[[#This Row],[Column4]])</f>
        <v>500</v>
      </c>
      <c r="O192">
        <f t="shared" si="2"/>
        <v>2000</v>
      </c>
    </row>
    <row r="193" spans="1:15" x14ac:dyDescent="0.3">
      <c r="A193" s="1" t="s">
        <v>508</v>
      </c>
      <c r="B193" s="2">
        <v>45308</v>
      </c>
      <c r="C193" s="1" t="str">
        <f>IF(TRIM(sales_dataset[[#This Row],[SalesChannel]])="",sales_dataset!C194,PROPER(TRIM(sales_dataset[[#This Row],[SalesChannel]])))</f>
        <v>Online</v>
      </c>
      <c r="D193" s="1" t="s">
        <v>509</v>
      </c>
      <c r="E193" s="1" t="str">
        <f>IF(TRIM(sales_dataset[[#This Row],[CustomerName]])="",sales_dataset!F199, PROPER(TRIM(sales_dataset[[#This Row],[CustomerName]])))</f>
        <v>Sara</v>
      </c>
      <c r="F193" s="1" t="str">
        <f>IF(TRIM(sales_dataset[[#This Row],[City]])="", sales_dataset!$H$3, PROPER(TRIM(sales_dataset[[#This Row],[City]])))</f>
        <v>Bengaluru</v>
      </c>
      <c r="G193" t="str">
        <f>PROPER(sales_dataset[[#This Row],[Region cleaned]])</f>
        <v/>
      </c>
      <c r="H193" t="s">
        <v>510</v>
      </c>
      <c r="I193" t="str">
        <f>IF(TRIM(sales_dataset[[#This Row],[SalespersonName]])="",I196,PROPER(TRIM(sales_dataset[[#This Row],[SalespersonName]])))</f>
        <v>Kevin</v>
      </c>
      <c r="J193" s="1" t="s">
        <v>219</v>
      </c>
      <c r="K193" s="1" t="str">
        <f>PROPER(sales_dataset[[#This Row],[ProductCategory cleaned]])</f>
        <v>Home</v>
      </c>
      <c r="L193" s="1" t="str">
        <f>PROPER(sales_dataset[[#This Row],[ProductName]])</f>
        <v/>
      </c>
      <c r="M193">
        <f>ABS(sales_dataset!W:W)</f>
        <v>4</v>
      </c>
      <c r="N193">
        <f>ABS(sales_dataset[[#This Row],[Column4]])</f>
        <v>2000</v>
      </c>
      <c r="O193">
        <f t="shared" si="2"/>
        <v>8000</v>
      </c>
    </row>
    <row r="194" spans="1:15" x14ac:dyDescent="0.3">
      <c r="A194" s="1" t="s">
        <v>511</v>
      </c>
      <c r="B194" s="2">
        <v>45461</v>
      </c>
      <c r="C194" s="1" t="str">
        <f>IF(TRIM(sales_dataset[[#This Row],[SalesChannel]])="",sales_dataset!C195,PROPER(TRIM(sales_dataset[[#This Row],[SalesChannel]])))</f>
        <v>Online</v>
      </c>
      <c r="D194" s="1" t="s">
        <v>226</v>
      </c>
      <c r="E194" s="1" t="str">
        <f>IF(TRIM(sales_dataset[[#This Row],[CustomerName]])="",sales_dataset!F200, PROPER(TRIM(sales_dataset[[#This Row],[CustomerName]])))</f>
        <v>Priya</v>
      </c>
      <c r="F194" s="1" t="str">
        <f>IF(TRIM(sales_dataset[[#This Row],[City]])="", sales_dataset!$H$3, PROPER(TRIM(sales_dataset[[#This Row],[City]])))</f>
        <v>Mumbai</v>
      </c>
      <c r="G194" t="str">
        <f>PROPER(sales_dataset[[#This Row],[Region cleaned]])</f>
        <v>North</v>
      </c>
      <c r="H194" t="s">
        <v>55</v>
      </c>
      <c r="I194" t="str">
        <f>IF(TRIM(sales_dataset[[#This Row],[SalespersonName]])="",I197,PROPER(TRIM(sales_dataset[[#This Row],[SalespersonName]])))</f>
        <v>Megha</v>
      </c>
      <c r="J194" s="1" t="s">
        <v>123</v>
      </c>
      <c r="K194" s="1" t="str">
        <f>PROPER(sales_dataset[[#This Row],[ProductCategory cleaned]])</f>
        <v>Electronics</v>
      </c>
      <c r="L194" s="1" t="str">
        <f>PROPER(sales_dataset[[#This Row],[ProductName]])</f>
        <v>Tv</v>
      </c>
      <c r="M194">
        <f>ABS(sales_dataset!W:W)</f>
        <v>3</v>
      </c>
      <c r="N194">
        <f>ABS(sales_dataset[[#This Row],[Column4]])</f>
        <v>1500</v>
      </c>
      <c r="O194">
        <f t="shared" si="2"/>
        <v>4500</v>
      </c>
    </row>
    <row r="195" spans="1:15" x14ac:dyDescent="0.3">
      <c r="A195" s="1" t="s">
        <v>512</v>
      </c>
      <c r="B195" s="2">
        <v>45328</v>
      </c>
      <c r="C195" s="1" t="str">
        <f>IF(TRIM(sales_dataset[[#This Row],[SalesChannel]])="",sales_dataset!C196,PROPER(TRIM(sales_dataset[[#This Row],[SalesChannel]])))</f>
        <v>Offline</v>
      </c>
      <c r="D195" s="1" t="s">
        <v>385</v>
      </c>
      <c r="E195" s="1" t="str">
        <f>IF(TRIM(sales_dataset[[#This Row],[CustomerName]])="",sales_dataset!F201, PROPER(TRIM(sales_dataset[[#This Row],[CustomerName]])))</f>
        <v>Priya</v>
      </c>
      <c r="F195" s="1" t="str">
        <f>IF(TRIM(sales_dataset[[#This Row],[City]])="", sales_dataset!$H$3, PROPER(TRIM(sales_dataset[[#This Row],[City]])))</f>
        <v>Delhi</v>
      </c>
      <c r="G195" t="str">
        <f>PROPER(sales_dataset[[#This Row],[Region cleaned]])</f>
        <v>North</v>
      </c>
      <c r="H195" t="s">
        <v>224</v>
      </c>
      <c r="I195" t="str">
        <f>IF(TRIM(sales_dataset[[#This Row],[SalespersonName]])="",I198,PROPER(TRIM(sales_dataset[[#This Row],[SalespersonName]])))</f>
        <v>Megha</v>
      </c>
      <c r="J195" s="1" t="s">
        <v>130</v>
      </c>
      <c r="K195" s="1" t="str">
        <f>PROPER(sales_dataset[[#This Row],[ProductCategory cleaned]])</f>
        <v>Home</v>
      </c>
      <c r="L195" s="1" t="str">
        <f>PROPER(sales_dataset[[#This Row],[ProductName]])</f>
        <v>Tv</v>
      </c>
      <c r="M195">
        <f>ABS(sales_dataset!W:W)</f>
        <v>2</v>
      </c>
      <c r="N195">
        <f>ABS(sales_dataset[[#This Row],[Column4]])</f>
        <v>1500</v>
      </c>
      <c r="O195">
        <f t="shared" ref="O195:O258" si="3">M195*N195</f>
        <v>3000</v>
      </c>
    </row>
    <row r="196" spans="1:15" x14ac:dyDescent="0.3">
      <c r="A196" s="1" t="s">
        <v>513</v>
      </c>
      <c r="B196" s="2">
        <v>45555</v>
      </c>
      <c r="C196" s="1" t="str">
        <f>IF(TRIM(sales_dataset[[#This Row],[SalesChannel]])="",sales_dataset!C197,PROPER(TRIM(sales_dataset[[#This Row],[SalesChannel]])))</f>
        <v>Store</v>
      </c>
      <c r="D196" s="1" t="s">
        <v>26</v>
      </c>
      <c r="E196" s="1" t="str">
        <f>IF(TRIM(sales_dataset[[#This Row],[CustomerName]])="",sales_dataset!F202, PROPER(TRIM(sales_dataset[[#This Row],[CustomerName]])))</f>
        <v>Priya</v>
      </c>
      <c r="F196" s="1" t="str">
        <f>IF(TRIM(sales_dataset[[#This Row],[City]])="", sales_dataset!$H$3, PROPER(TRIM(sales_dataset[[#This Row],[City]])))</f>
        <v>Delhi</v>
      </c>
      <c r="G196" t="str">
        <f>PROPER(sales_dataset[[#This Row],[Region cleaned]])</f>
        <v>North</v>
      </c>
      <c r="H196" t="s">
        <v>318</v>
      </c>
      <c r="I196" t="str">
        <f>IF(TRIM(sales_dataset[[#This Row],[SalespersonName]])="",I199,PROPER(TRIM(sales_dataset[[#This Row],[SalespersonName]])))</f>
        <v>Kevin</v>
      </c>
      <c r="J196" s="1" t="s">
        <v>377</v>
      </c>
      <c r="K196" s="1" t="str">
        <f>PROPER(sales_dataset[[#This Row],[ProductCategory cleaned]])</f>
        <v>Electronics</v>
      </c>
      <c r="L196" s="1" t="str">
        <f>PROPER(sales_dataset[[#This Row],[ProductName]])</f>
        <v>Watch</v>
      </c>
      <c r="M196">
        <f>ABS(sales_dataset!W:W)</f>
        <v>1</v>
      </c>
      <c r="N196">
        <f>ABS(sales_dataset[[#This Row],[Column4]])</f>
        <v>100</v>
      </c>
      <c r="O196">
        <f t="shared" si="3"/>
        <v>100</v>
      </c>
    </row>
    <row r="197" spans="1:15" x14ac:dyDescent="0.3">
      <c r="A197" s="1" t="s">
        <v>514</v>
      </c>
      <c r="B197" s="2">
        <v>45413</v>
      </c>
      <c r="C197" s="1" t="str">
        <f>IF(TRIM(sales_dataset[[#This Row],[SalesChannel]])="",sales_dataset!C198,PROPER(TRIM(sales_dataset[[#This Row],[SalesChannel]])))</f>
        <v>Store</v>
      </c>
      <c r="D197" s="1" t="s">
        <v>214</v>
      </c>
      <c r="E197" s="1" t="str">
        <f>IF(TRIM(sales_dataset[[#This Row],[CustomerName]])="",sales_dataset!F203, PROPER(TRIM(sales_dataset[[#This Row],[CustomerName]])))</f>
        <v>Amit</v>
      </c>
      <c r="F197" s="1" t="str">
        <f>IF(TRIM(sales_dataset[[#This Row],[City]])="", sales_dataset!$H$3, PROPER(TRIM(sales_dataset[[#This Row],[City]])))</f>
        <v>Delhi</v>
      </c>
      <c r="G197" t="str">
        <f>PROPER(sales_dataset[[#This Row],[Region cleaned]])</f>
        <v>North</v>
      </c>
      <c r="H197" t="s">
        <v>224</v>
      </c>
      <c r="I197" t="str">
        <f>IF(TRIM(sales_dataset[[#This Row],[SalespersonName]])="",I200,PROPER(TRIM(sales_dataset[[#This Row],[SalespersonName]])))</f>
        <v>Megha</v>
      </c>
      <c r="J197" s="1" t="s">
        <v>515</v>
      </c>
      <c r="K197" s="1" t="str">
        <f>PROPER(sales_dataset[[#This Row],[ProductCategory cleaned]])</f>
        <v>Electronics</v>
      </c>
      <c r="L197" s="1" t="str">
        <f>PROPER(sales_dataset[[#This Row],[ProductName]])</f>
        <v/>
      </c>
      <c r="M197">
        <f>ABS(sales_dataset!W:W)</f>
        <v>5</v>
      </c>
      <c r="N197">
        <f>ABS(sales_dataset[[#This Row],[Column4]])</f>
        <v>2000</v>
      </c>
      <c r="O197">
        <f t="shared" si="3"/>
        <v>10000</v>
      </c>
    </row>
    <row r="198" spans="1:15" x14ac:dyDescent="0.3">
      <c r="A198" s="1" t="s">
        <v>516</v>
      </c>
      <c r="B198" s="2">
        <v>45434</v>
      </c>
      <c r="C198" s="1" t="str">
        <f>IF(TRIM(sales_dataset[[#This Row],[SalesChannel]])="",sales_dataset!C199,PROPER(TRIM(sales_dataset[[#This Row],[SalesChannel]])))</f>
        <v>Online</v>
      </c>
      <c r="D198" s="1" t="s">
        <v>517</v>
      </c>
      <c r="E198" s="1" t="str">
        <f>IF(TRIM(sales_dataset[[#This Row],[CustomerName]])="",sales_dataset!F204, PROPER(TRIM(sales_dataset[[#This Row],[CustomerName]])))</f>
        <v>Sara</v>
      </c>
      <c r="F198" s="1" t="str">
        <f>IF(TRIM(sales_dataset[[#This Row],[City]])="", sales_dataset!$H$3, PROPER(TRIM(sales_dataset[[#This Row],[City]])))</f>
        <v>Hyderabad</v>
      </c>
      <c r="G198" t="str">
        <f>PROPER(sales_dataset[[#This Row],[Region cleaned]])</f>
        <v>South</v>
      </c>
      <c r="H198" t="s">
        <v>195</v>
      </c>
      <c r="I198" t="str">
        <f>IF(TRIM(sales_dataset[[#This Row],[SalespersonName]])="",I201,PROPER(TRIM(sales_dataset[[#This Row],[SalespersonName]])))</f>
        <v>Anita</v>
      </c>
      <c r="J198" s="1" t="s">
        <v>141</v>
      </c>
      <c r="K198" s="1" t="str">
        <f>PROPER(sales_dataset[[#This Row],[ProductCategory cleaned]])</f>
        <v>Home</v>
      </c>
      <c r="L198" s="1" t="str">
        <f>PROPER(sales_dataset[[#This Row],[ProductName]])</f>
        <v>Tv</v>
      </c>
      <c r="M198">
        <f>ABS(sales_dataset!W:W)</f>
        <v>4</v>
      </c>
      <c r="N198">
        <f>ABS(sales_dataset[[#This Row],[Column4]])</f>
        <v>2000</v>
      </c>
      <c r="O198">
        <f t="shared" si="3"/>
        <v>8000</v>
      </c>
    </row>
    <row r="199" spans="1:15" x14ac:dyDescent="0.3">
      <c r="A199" s="1" t="s">
        <v>518</v>
      </c>
      <c r="B199" s="2">
        <v>45540</v>
      </c>
      <c r="C199" s="1" t="str">
        <f>IF(TRIM(sales_dataset[[#This Row],[SalesChannel]])="",sales_dataset!C200,PROPER(TRIM(sales_dataset[[#This Row],[SalesChannel]])))</f>
        <v>Online</v>
      </c>
      <c r="D199" s="1" t="s">
        <v>519</v>
      </c>
      <c r="E199" s="1" t="str">
        <f>IF(TRIM(sales_dataset[[#This Row],[CustomerName]])="",sales_dataset!F205, PROPER(TRIM(sales_dataset[[#This Row],[CustomerName]])))</f>
        <v>priya</v>
      </c>
      <c r="F199" s="1" t="str">
        <f>IF(TRIM(sales_dataset[[#This Row],[City]])="", sales_dataset!$H$3, PROPER(TRIM(sales_dataset[[#This Row],[City]])))</f>
        <v>Mumbai</v>
      </c>
      <c r="G199" t="str">
        <f>PROPER(sales_dataset[[#This Row],[Region cleaned]])</f>
        <v>East</v>
      </c>
      <c r="H199" t="s">
        <v>215</v>
      </c>
      <c r="I199" t="str">
        <f>IF(TRIM(sales_dataset[[#This Row],[SalespersonName]])="",I202,PROPER(TRIM(sales_dataset[[#This Row],[SalespersonName]])))</f>
        <v>Sam</v>
      </c>
      <c r="J199" s="1" t="s">
        <v>347</v>
      </c>
      <c r="K199" s="1" t="str">
        <f>PROPER(sales_dataset[[#This Row],[ProductCategory cleaned]])</f>
        <v>Electronics</v>
      </c>
      <c r="L199" s="1" t="str">
        <f>PROPER(sales_dataset[[#This Row],[ProductName]])</f>
        <v/>
      </c>
      <c r="M199">
        <f>ABS(sales_dataset!W:W)</f>
        <v>2</v>
      </c>
      <c r="N199">
        <f>ABS(sales_dataset[[#This Row],[Column4]])</f>
        <v>2000</v>
      </c>
      <c r="O199">
        <f t="shared" si="3"/>
        <v>4000</v>
      </c>
    </row>
    <row r="200" spans="1:15" x14ac:dyDescent="0.3">
      <c r="A200" s="1" t="s">
        <v>520</v>
      </c>
      <c r="B200" s="2">
        <v>45401</v>
      </c>
      <c r="C200" s="1" t="str">
        <f>IF(TRIM(sales_dataset[[#This Row],[SalesChannel]])="",sales_dataset!C201,PROPER(TRIM(sales_dataset[[#This Row],[SalesChannel]])))</f>
        <v>Online</v>
      </c>
      <c r="D200" s="1" t="s">
        <v>89</v>
      </c>
      <c r="E200" s="1" t="str">
        <f>IF(TRIM(sales_dataset[[#This Row],[CustomerName]])="",sales_dataset!F206, PROPER(TRIM(sales_dataset[[#This Row],[CustomerName]])))</f>
        <v>David</v>
      </c>
      <c r="F200" s="1" t="str">
        <f>IF(TRIM(sales_dataset[[#This Row],[City]])="", sales_dataset!$H$3, PROPER(TRIM(sales_dataset[[#This Row],[City]])))</f>
        <v>Chennai</v>
      </c>
      <c r="G200" t="str">
        <f>PROPER(sales_dataset[[#This Row],[Region cleaned]])</f>
        <v>South</v>
      </c>
      <c r="H200" t="s">
        <v>427</v>
      </c>
      <c r="I200" t="str">
        <f>IF(TRIM(sales_dataset[[#This Row],[SalespersonName]])="",I203,PROPER(TRIM(sales_dataset[[#This Row],[SalespersonName]])))</f>
        <v>Megha</v>
      </c>
      <c r="J200" s="1" t="s">
        <v>340</v>
      </c>
      <c r="K200" s="1" t="str">
        <f>PROPER(sales_dataset[[#This Row],[ProductCategory cleaned]])</f>
        <v>Clothing</v>
      </c>
      <c r="L200" s="1" t="str">
        <f>PROPER(sales_dataset[[#This Row],[ProductName]])</f>
        <v>Shirt</v>
      </c>
      <c r="M200">
        <f>ABS(sales_dataset!W:W)</f>
        <v>0</v>
      </c>
      <c r="N200">
        <f>ABS(sales_dataset[[#This Row],[Column4]])</f>
        <v>2000</v>
      </c>
      <c r="O200">
        <f t="shared" si="3"/>
        <v>0</v>
      </c>
    </row>
    <row r="201" spans="1:15" x14ac:dyDescent="0.3">
      <c r="A201" s="1" t="s">
        <v>521</v>
      </c>
      <c r="B201" s="2">
        <v>45568</v>
      </c>
      <c r="C201" s="1" t="str">
        <f>IF(TRIM(sales_dataset[[#This Row],[SalesChannel]])="",sales_dataset!C202,PROPER(TRIM(sales_dataset[[#This Row],[SalesChannel]])))</f>
        <v>Offline</v>
      </c>
      <c r="D201" s="1" t="s">
        <v>52</v>
      </c>
      <c r="E201" s="1" t="str">
        <f>IF(TRIM(sales_dataset[[#This Row],[CustomerName]])="",sales_dataset!F207, PROPER(TRIM(sales_dataset[[#This Row],[CustomerName]])))</f>
        <v>Amit</v>
      </c>
      <c r="F201" s="1" t="str">
        <f>IF(TRIM(sales_dataset[[#This Row],[City]])="", sales_dataset!$H$3, PROPER(TRIM(sales_dataset[[#This Row],[City]])))</f>
        <v>Mumbai</v>
      </c>
      <c r="G201" t="str">
        <f>PROPER(sales_dataset[[#This Row],[Region cleaned]])</f>
        <v>North</v>
      </c>
      <c r="H201" t="s">
        <v>129</v>
      </c>
      <c r="I201" t="str">
        <f>IF(TRIM(sales_dataset[[#This Row],[SalespersonName]])="",I204,PROPER(TRIM(sales_dataset[[#This Row],[SalespersonName]])))</f>
        <v>Anita</v>
      </c>
      <c r="J201" s="1" t="s">
        <v>57</v>
      </c>
      <c r="K201" s="1" t="str">
        <f>PROPER(sales_dataset[[#This Row],[ProductCategory cleaned]])</f>
        <v>Clothing</v>
      </c>
      <c r="L201" s="1" t="str">
        <f>PROPER(sales_dataset[[#This Row],[ProductName]])</f>
        <v/>
      </c>
      <c r="M201">
        <f>ABS(sales_dataset!W:W)</f>
        <v>4</v>
      </c>
      <c r="N201">
        <f>ABS(sales_dataset[[#This Row],[Column4]])</f>
        <v>1500</v>
      </c>
      <c r="O201">
        <f t="shared" si="3"/>
        <v>6000</v>
      </c>
    </row>
    <row r="202" spans="1:15" x14ac:dyDescent="0.3">
      <c r="A202" s="1" t="s">
        <v>522</v>
      </c>
      <c r="B202" s="2">
        <v>45359</v>
      </c>
      <c r="C202" s="1" t="str">
        <f>IF(TRIM(sales_dataset[[#This Row],[SalesChannel]])="",sales_dataset!C203,PROPER(TRIM(sales_dataset[[#This Row],[SalesChannel]])))</f>
        <v>Store</v>
      </c>
      <c r="D202" s="1" t="s">
        <v>523</v>
      </c>
      <c r="E202" s="1" t="str">
        <f>IF(TRIM(sales_dataset[[#This Row],[CustomerName]])="",sales_dataset!F208, PROPER(TRIM(sales_dataset[[#This Row],[CustomerName]])))</f>
        <v>David</v>
      </c>
      <c r="F202" s="1" t="str">
        <f>IF(TRIM(sales_dataset[[#This Row],[City]])="", sales_dataset!$H$3, PROPER(TRIM(sales_dataset[[#This Row],[City]])))</f>
        <v>Delhi</v>
      </c>
      <c r="G202" t="str">
        <f>PROPER(sales_dataset[[#This Row],[Region cleaned]])</f>
        <v>East</v>
      </c>
      <c r="H202" t="s">
        <v>215</v>
      </c>
      <c r="I202" t="str">
        <f>IF(TRIM(sales_dataset[[#This Row],[SalespersonName]])="",I205,PROPER(TRIM(sales_dataset[[#This Row],[SalespersonName]])))</f>
        <v>Sam</v>
      </c>
      <c r="J202" s="1" t="s">
        <v>308</v>
      </c>
      <c r="K202" s="1" t="str">
        <f>PROPER(sales_dataset[[#This Row],[ProductCategory cleaned]])</f>
        <v>Clothing</v>
      </c>
      <c r="L202" s="1" t="str">
        <f>PROPER(sales_dataset[[#This Row],[ProductName]])</f>
        <v>Watch</v>
      </c>
      <c r="M202">
        <f>ABS(sales_dataset!W:W)</f>
        <v>3</v>
      </c>
      <c r="N202">
        <f>ABS(sales_dataset[[#This Row],[Column4]])</f>
        <v>2500</v>
      </c>
      <c r="O202">
        <f t="shared" si="3"/>
        <v>7500</v>
      </c>
    </row>
    <row r="203" spans="1:15" x14ac:dyDescent="0.3">
      <c r="A203" s="1" t="s">
        <v>524</v>
      </c>
      <c r="B203" s="2">
        <v>45584</v>
      </c>
      <c r="C203" s="1" t="str">
        <f>IF(TRIM(sales_dataset[[#This Row],[SalesChannel]])="",sales_dataset!C204,PROPER(TRIM(sales_dataset[[#This Row],[SalesChannel]])))</f>
        <v>Store</v>
      </c>
      <c r="D203" s="1" t="s">
        <v>525</v>
      </c>
      <c r="E203" s="1" t="str">
        <f>IF(TRIM(sales_dataset[[#This Row],[CustomerName]])="",sales_dataset!F209, PROPER(TRIM(sales_dataset[[#This Row],[CustomerName]])))</f>
        <v>Amit</v>
      </c>
      <c r="F203" s="1" t="str">
        <f>IF(TRIM(sales_dataset[[#This Row],[City]])="", sales_dataset!$H$3, PROPER(TRIM(sales_dataset[[#This Row],[City]])))</f>
        <v>Mumbai</v>
      </c>
      <c r="G203" t="str">
        <f>PROPER(sales_dataset[[#This Row],[Region cleaned]])</f>
        <v>North</v>
      </c>
      <c r="H203" t="s">
        <v>212</v>
      </c>
      <c r="I203" t="str">
        <f>IF(TRIM(sales_dataset[[#This Row],[SalespersonName]])="",I206,PROPER(TRIM(sales_dataset[[#This Row],[SalespersonName]])))</f>
        <v>Kevin</v>
      </c>
      <c r="J203" s="1" t="s">
        <v>112</v>
      </c>
      <c r="K203" s="1" t="str">
        <f>PROPER(sales_dataset[[#This Row],[ProductCategory cleaned]])</f>
        <v>Electronics</v>
      </c>
      <c r="L203" s="1" t="str">
        <f>PROPER(sales_dataset[[#This Row],[ProductName]])</f>
        <v>Shirt</v>
      </c>
      <c r="M203">
        <f>ABS(sales_dataset!W:W)</f>
        <v>2</v>
      </c>
      <c r="N203">
        <f>ABS(sales_dataset[[#This Row],[Column4]])</f>
        <v>0</v>
      </c>
      <c r="O203">
        <f t="shared" si="3"/>
        <v>0</v>
      </c>
    </row>
    <row r="204" spans="1:15" x14ac:dyDescent="0.3">
      <c r="A204" s="1" t="s">
        <v>526</v>
      </c>
      <c r="B204" s="2">
        <v>45587</v>
      </c>
      <c r="C204" s="1" t="str">
        <f>IF(TRIM(sales_dataset[[#This Row],[SalesChannel]])="",sales_dataset!C205,PROPER(TRIM(sales_dataset[[#This Row],[SalesChannel]])))</f>
        <v>Online</v>
      </c>
      <c r="D204" s="1" t="s">
        <v>527</v>
      </c>
      <c r="E204" s="1" t="str">
        <f>IF(TRIM(sales_dataset[[#This Row],[CustomerName]])="",sales_dataset!F210, PROPER(TRIM(sales_dataset[[#This Row],[CustomerName]])))</f>
        <v>John</v>
      </c>
      <c r="F204" s="1" t="str">
        <f>IF(TRIM(sales_dataset[[#This Row],[City]])="", sales_dataset!$H$3, PROPER(TRIM(sales_dataset[[#This Row],[City]])))</f>
        <v>Mumbai</v>
      </c>
      <c r="G204" t="str">
        <f>PROPER(sales_dataset[[#This Row],[Region cleaned]])</f>
        <v>East</v>
      </c>
      <c r="H204" t="s">
        <v>413</v>
      </c>
      <c r="I204" t="str">
        <f>IF(TRIM(sales_dataset[[#This Row],[SalespersonName]])="",I207,PROPER(TRIM(sales_dataset[[#This Row],[SalespersonName]])))</f>
        <v>Anita</v>
      </c>
      <c r="J204" s="1" t="s">
        <v>344</v>
      </c>
      <c r="K204" s="1" t="str">
        <f>PROPER(sales_dataset[[#This Row],[ProductCategory cleaned]])</f>
        <v>Electronics</v>
      </c>
      <c r="L204" s="1" t="str">
        <f>PROPER(sales_dataset[[#This Row],[ProductName]])</f>
        <v>Sofa</v>
      </c>
      <c r="M204">
        <f>ABS(sales_dataset!W:W)</f>
        <v>1</v>
      </c>
      <c r="N204">
        <f>ABS(sales_dataset[[#This Row],[Column4]])</f>
        <v>2500</v>
      </c>
      <c r="O204">
        <f t="shared" si="3"/>
        <v>2500</v>
      </c>
    </row>
    <row r="205" spans="1:15" x14ac:dyDescent="0.3">
      <c r="A205" s="1" t="s">
        <v>528</v>
      </c>
      <c r="B205" s="2">
        <v>45534</v>
      </c>
      <c r="C205" s="1" t="str">
        <f>IF(TRIM(sales_dataset[[#This Row],[SalesChannel]])="",sales_dataset!C206,PROPER(TRIM(sales_dataset[[#This Row],[SalesChannel]])))</f>
        <v>Online</v>
      </c>
      <c r="D205" s="1" t="s">
        <v>529</v>
      </c>
      <c r="E205" s="1" t="str">
        <f>IF(TRIM(sales_dataset[[#This Row],[CustomerName]])="",sales_dataset!F211, PROPER(TRIM(sales_dataset[[#This Row],[CustomerName]])))</f>
        <v>Priya</v>
      </c>
      <c r="F205" s="1" t="str">
        <f>IF(TRIM(sales_dataset[[#This Row],[City]])="", sales_dataset!$H$3, PROPER(TRIM(sales_dataset[[#This Row],[City]])))</f>
        <v>Mumbai</v>
      </c>
      <c r="G205" t="str">
        <f>PROPER(sales_dataset[[#This Row],[Region cleaned]])</f>
        <v/>
      </c>
      <c r="H205" t="s">
        <v>241</v>
      </c>
      <c r="I205" t="str">
        <f>IF(TRIM(sales_dataset[[#This Row],[SalespersonName]])="",I208,PROPER(TRIM(sales_dataset[[#This Row],[SalespersonName]])))</f>
        <v>Kevin</v>
      </c>
      <c r="J205" s="1" t="s">
        <v>288</v>
      </c>
      <c r="K205" s="1" t="str">
        <f>PROPER(sales_dataset[[#This Row],[ProductCategory cleaned]])</f>
        <v>Electronics</v>
      </c>
      <c r="L205" s="1" t="str">
        <f>PROPER(sales_dataset[[#This Row],[ProductName]])</f>
        <v>Shirt</v>
      </c>
      <c r="M205">
        <f>ABS(sales_dataset!W:W)</f>
        <v>1</v>
      </c>
      <c r="N205">
        <f>ABS(sales_dataset[[#This Row],[Column4]])</f>
        <v>500</v>
      </c>
      <c r="O205">
        <f t="shared" si="3"/>
        <v>500</v>
      </c>
    </row>
    <row r="206" spans="1:15" x14ac:dyDescent="0.3">
      <c r="A206" s="1" t="s">
        <v>530</v>
      </c>
      <c r="B206" s="2">
        <v>45416</v>
      </c>
      <c r="C206" s="1" t="str">
        <f>IF(TRIM(sales_dataset[[#This Row],[SalesChannel]])="",sales_dataset!C207,PROPER(TRIM(sales_dataset[[#This Row],[SalesChannel]])))</f>
        <v>Online</v>
      </c>
      <c r="D206" s="1" t="s">
        <v>387</v>
      </c>
      <c r="E206" s="1" t="str">
        <f>IF(TRIM(sales_dataset[[#This Row],[CustomerName]])="",sales_dataset!F212, PROPER(TRIM(sales_dataset[[#This Row],[CustomerName]])))</f>
        <v>Priya</v>
      </c>
      <c r="F206" s="1" t="str">
        <f>IF(TRIM(sales_dataset[[#This Row],[City]])="", sales_dataset!$H$3, PROPER(TRIM(sales_dataset[[#This Row],[City]])))</f>
        <v>Mumbai</v>
      </c>
      <c r="G206" t="str">
        <f>PROPER(sales_dataset[[#This Row],[Region cleaned]])</f>
        <v>South</v>
      </c>
      <c r="H206" t="s">
        <v>107</v>
      </c>
      <c r="I206" t="str">
        <f>IF(TRIM(sales_dataset[[#This Row],[SalespersonName]])="",I209,PROPER(TRIM(sales_dataset[[#This Row],[SalespersonName]])))</f>
        <v>Kevin</v>
      </c>
      <c r="J206" s="1" t="s">
        <v>446</v>
      </c>
      <c r="K206" s="1" t="str">
        <f>PROPER(sales_dataset[[#This Row],[ProductCategory cleaned]])</f>
        <v>Clothing</v>
      </c>
      <c r="L206" s="1" t="str">
        <f>PROPER(sales_dataset[[#This Row],[ProductName]])</f>
        <v>Sofa</v>
      </c>
      <c r="M206">
        <f>ABS(sales_dataset!W:W)</f>
        <v>4</v>
      </c>
      <c r="N206">
        <f>ABS(sales_dataset[[#This Row],[Column4]])</f>
        <v>100</v>
      </c>
      <c r="O206">
        <f t="shared" si="3"/>
        <v>400</v>
      </c>
    </row>
    <row r="207" spans="1:15" x14ac:dyDescent="0.3">
      <c r="A207" s="1" t="s">
        <v>531</v>
      </c>
      <c r="B207" s="2">
        <v>45534</v>
      </c>
      <c r="C207" s="1" t="str">
        <f>IF(TRIM(sales_dataset[[#This Row],[SalesChannel]])="",sales_dataset!C208,PROPER(TRIM(sales_dataset[[#This Row],[SalesChannel]])))</f>
        <v>Offline</v>
      </c>
      <c r="D207" s="1" t="s">
        <v>450</v>
      </c>
      <c r="E207" s="1" t="str">
        <f>IF(TRIM(sales_dataset[[#This Row],[CustomerName]])="",sales_dataset!F213, PROPER(TRIM(sales_dataset[[#This Row],[CustomerName]])))</f>
        <v>Priya</v>
      </c>
      <c r="F207" s="1" t="str">
        <f>IF(TRIM(sales_dataset[[#This Row],[City]])="", sales_dataset!$H$3, PROPER(TRIM(sales_dataset[[#This Row],[City]])))</f>
        <v>Mumbai</v>
      </c>
      <c r="G207" t="str">
        <f>PROPER(sales_dataset[[#This Row],[Region cleaned]])</f>
        <v/>
      </c>
      <c r="H207" t="s">
        <v>218</v>
      </c>
      <c r="I207" t="str">
        <f>IF(TRIM(sales_dataset[[#This Row],[SalespersonName]])="",I210,PROPER(TRIM(sales_dataset[[#This Row],[SalespersonName]])))</f>
        <v>Anita</v>
      </c>
      <c r="J207" s="1" t="s">
        <v>196</v>
      </c>
      <c r="K207" s="1" t="str">
        <f>PROPER(sales_dataset[[#This Row],[ProductCategory cleaned]])</f>
        <v>Home</v>
      </c>
      <c r="L207" s="1" t="str">
        <f>PROPER(sales_dataset[[#This Row],[ProductName]])</f>
        <v>Shirt</v>
      </c>
      <c r="M207">
        <f>ABS(sales_dataset!W:W)</f>
        <v>1</v>
      </c>
      <c r="N207">
        <f>ABS(sales_dataset[[#This Row],[Column4]])</f>
        <v>500</v>
      </c>
      <c r="O207">
        <f t="shared" si="3"/>
        <v>500</v>
      </c>
    </row>
    <row r="208" spans="1:15" x14ac:dyDescent="0.3">
      <c r="A208" s="1" t="s">
        <v>532</v>
      </c>
      <c r="B208" s="2">
        <v>45500</v>
      </c>
      <c r="C208" s="1" t="str">
        <f>IF(TRIM(sales_dataset[[#This Row],[SalesChannel]])="",sales_dataset!C209,PROPER(TRIM(sales_dataset[[#This Row],[SalesChannel]])))</f>
        <v>Store</v>
      </c>
      <c r="D208" s="1" t="s">
        <v>533</v>
      </c>
      <c r="E208" s="1" t="str">
        <f>IF(TRIM(sales_dataset[[#This Row],[CustomerName]])="",sales_dataset!F214, PROPER(TRIM(sales_dataset[[#This Row],[CustomerName]])))</f>
        <v>John</v>
      </c>
      <c r="F208" s="1" t="str">
        <f>IF(TRIM(sales_dataset[[#This Row],[City]])="", sales_dataset!$H$3, PROPER(TRIM(sales_dataset[[#This Row],[City]])))</f>
        <v>Hyderabad</v>
      </c>
      <c r="G208" t="str">
        <f>PROPER(sales_dataset[[#This Row],[Region cleaned]])</f>
        <v>West</v>
      </c>
      <c r="H208" t="s">
        <v>136</v>
      </c>
      <c r="I208" t="str">
        <f>IF(TRIM(sales_dataset[[#This Row],[SalespersonName]])="",I211,PROPER(TRIM(sales_dataset[[#This Row],[SalespersonName]])))</f>
        <v>Anita</v>
      </c>
      <c r="J208" s="1" t="s">
        <v>174</v>
      </c>
      <c r="K208" s="1" t="str">
        <f>PROPER(sales_dataset[[#This Row],[ProductCategory cleaned]])</f>
        <v>Electronics</v>
      </c>
      <c r="L208" s="1" t="str">
        <f>PROPER(sales_dataset[[#This Row],[ProductName]])</f>
        <v>Sofa</v>
      </c>
      <c r="M208">
        <f>ABS(sales_dataset!W:W)</f>
        <v>1</v>
      </c>
      <c r="N208">
        <f>ABS(sales_dataset[[#This Row],[Column4]])</f>
        <v>500</v>
      </c>
      <c r="O208">
        <f t="shared" si="3"/>
        <v>500</v>
      </c>
    </row>
    <row r="209" spans="1:15" x14ac:dyDescent="0.3">
      <c r="A209" s="1" t="s">
        <v>534</v>
      </c>
      <c r="B209" s="2">
        <v>45389</v>
      </c>
      <c r="C209" s="1" t="str">
        <f>IF(TRIM(sales_dataset[[#This Row],[SalesChannel]])="",sales_dataset!C210,PROPER(TRIM(sales_dataset[[#This Row],[SalesChannel]])))</f>
        <v>Store</v>
      </c>
      <c r="D209" s="1" t="s">
        <v>379</v>
      </c>
      <c r="E209" s="1" t="str">
        <f>IF(TRIM(sales_dataset[[#This Row],[CustomerName]])="",sales_dataset!F215, PROPER(TRIM(sales_dataset[[#This Row],[CustomerName]])))</f>
        <v>Priya</v>
      </c>
      <c r="F209" s="1" t="str">
        <f>IF(TRIM(sales_dataset[[#This Row],[City]])="", sales_dataset!$H$3, PROPER(TRIM(sales_dataset[[#This Row],[City]])))</f>
        <v>Delhi</v>
      </c>
      <c r="G209" t="str">
        <f>PROPER(sales_dataset[[#This Row],[Region cleaned]])</f>
        <v/>
      </c>
      <c r="H209" t="s">
        <v>47</v>
      </c>
      <c r="I209" t="str">
        <f>IF(TRIM(sales_dataset[[#This Row],[SalespersonName]])="",I212,PROPER(TRIM(sales_dataset[[#This Row],[SalespersonName]])))</f>
        <v>Anita</v>
      </c>
      <c r="J209" s="1" t="s">
        <v>130</v>
      </c>
      <c r="K209" s="1" t="str">
        <f>PROPER(sales_dataset[[#This Row],[ProductCategory cleaned]])</f>
        <v>Electronics</v>
      </c>
      <c r="L209" s="1" t="str">
        <f>PROPER(sales_dataset[[#This Row],[ProductName]])</f>
        <v>Watch</v>
      </c>
      <c r="M209">
        <f>ABS(sales_dataset!W:W)</f>
        <v>1</v>
      </c>
      <c r="N209">
        <f>ABS(sales_dataset[[#This Row],[Column4]])</f>
        <v>100</v>
      </c>
      <c r="O209">
        <f t="shared" si="3"/>
        <v>100</v>
      </c>
    </row>
    <row r="210" spans="1:15" x14ac:dyDescent="0.3">
      <c r="A210" s="1" t="s">
        <v>535</v>
      </c>
      <c r="B210" s="2">
        <v>45340</v>
      </c>
      <c r="C210" s="1" t="str">
        <f>IF(TRIM(sales_dataset[[#This Row],[SalesChannel]])="",sales_dataset!C211,PROPER(TRIM(sales_dataset[[#This Row],[SalesChannel]])))</f>
        <v>Online</v>
      </c>
      <c r="D210" s="1" t="s">
        <v>165</v>
      </c>
      <c r="E210" s="1" t="str">
        <f>IF(TRIM(sales_dataset[[#This Row],[CustomerName]])="",sales_dataset!F216, PROPER(TRIM(sales_dataset[[#This Row],[CustomerName]])))</f>
        <v>Amit</v>
      </c>
      <c r="F210" s="1" t="str">
        <f>IF(TRIM(sales_dataset[[#This Row],[City]])="", sales_dataset!$H$3, PROPER(TRIM(sales_dataset[[#This Row],[City]])))</f>
        <v>Chennai</v>
      </c>
      <c r="G210" t="str">
        <f>PROPER(sales_dataset[[#This Row],[Region cleaned]])</f>
        <v>West</v>
      </c>
      <c r="H210" t="s">
        <v>67</v>
      </c>
      <c r="I210" t="str">
        <f>IF(TRIM(sales_dataset[[#This Row],[SalespersonName]])="",I213,PROPER(TRIM(sales_dataset[[#This Row],[SalespersonName]])))</f>
        <v>Megha</v>
      </c>
      <c r="J210" s="1" t="s">
        <v>303</v>
      </c>
      <c r="K210" s="1" t="str">
        <f>PROPER(sales_dataset[[#This Row],[ProductCategory cleaned]])</f>
        <v>Clothing</v>
      </c>
      <c r="L210" s="1" t="str">
        <f>PROPER(sales_dataset[[#This Row],[ProductName]])</f>
        <v>Watch</v>
      </c>
      <c r="M210">
        <f>ABS(sales_dataset!W:W)</f>
        <v>5</v>
      </c>
      <c r="N210">
        <f>ABS(sales_dataset[[#This Row],[Column4]])</f>
        <v>2000</v>
      </c>
      <c r="O210">
        <f t="shared" si="3"/>
        <v>10000</v>
      </c>
    </row>
    <row r="211" spans="1:15" x14ac:dyDescent="0.3">
      <c r="A211" s="1" t="s">
        <v>536</v>
      </c>
      <c r="B211" s="2">
        <v>45341</v>
      </c>
      <c r="C211" s="1" t="str">
        <f>IF(TRIM(sales_dataset[[#This Row],[SalesChannel]])="",sales_dataset!C212,PROPER(TRIM(sales_dataset[[#This Row],[SalesChannel]])))</f>
        <v>Online</v>
      </c>
      <c r="D211" s="1" t="s">
        <v>389</v>
      </c>
      <c r="E211" s="1" t="str">
        <f>IF(TRIM(sales_dataset[[#This Row],[CustomerName]])="",sales_dataset!F217, PROPER(TRIM(sales_dataset[[#This Row],[CustomerName]])))</f>
        <v>Sara</v>
      </c>
      <c r="F211" s="1" t="str">
        <f>IF(TRIM(sales_dataset[[#This Row],[City]])="", sales_dataset!$H$3, PROPER(TRIM(sales_dataset[[#This Row],[City]])))</f>
        <v>Chennai</v>
      </c>
      <c r="G211" t="str">
        <f>PROPER(sales_dataset[[#This Row],[Region cleaned]])</f>
        <v>South</v>
      </c>
      <c r="H211" t="s">
        <v>20</v>
      </c>
      <c r="I211" t="str">
        <f>IF(TRIM(sales_dataset[[#This Row],[SalespersonName]])="",I214,PROPER(TRIM(sales_dataset[[#This Row],[SalespersonName]])))</f>
        <v>Anita</v>
      </c>
      <c r="J211" s="1" t="s">
        <v>446</v>
      </c>
      <c r="K211" s="1" t="str">
        <f>PROPER(sales_dataset[[#This Row],[ProductCategory cleaned]])</f>
        <v>Home</v>
      </c>
      <c r="L211" s="1" t="str">
        <f>PROPER(sales_dataset[[#This Row],[ProductName]])</f>
        <v>Sofa</v>
      </c>
      <c r="M211">
        <f>ABS(sales_dataset!W:W)</f>
        <v>1</v>
      </c>
      <c r="N211">
        <f>ABS(sales_dataset[[#This Row],[Column4]])</f>
        <v>2500</v>
      </c>
      <c r="O211">
        <f t="shared" si="3"/>
        <v>2500</v>
      </c>
    </row>
    <row r="212" spans="1:15" x14ac:dyDescent="0.3">
      <c r="A212" s="1" t="s">
        <v>537</v>
      </c>
      <c r="B212" s="2">
        <v>45512</v>
      </c>
      <c r="C212" s="1" t="str">
        <f>IF(TRIM(sales_dataset[[#This Row],[SalesChannel]])="",sales_dataset!C213,PROPER(TRIM(sales_dataset[[#This Row],[SalesChannel]])))</f>
        <v>Online</v>
      </c>
      <c r="D212" s="1" t="s">
        <v>479</v>
      </c>
      <c r="E212" s="1" t="str">
        <f>IF(TRIM(sales_dataset[[#This Row],[CustomerName]])="",sales_dataset!F218, PROPER(TRIM(sales_dataset[[#This Row],[CustomerName]])))</f>
        <v>Amit</v>
      </c>
      <c r="F212" s="1" t="str">
        <f>IF(TRIM(sales_dataset[[#This Row],[City]])="", sales_dataset!$H$3, PROPER(TRIM(sales_dataset[[#This Row],[City]])))</f>
        <v>Chennai</v>
      </c>
      <c r="G212" t="str">
        <f>PROPER(sales_dataset[[#This Row],[Region cleaned]])</f>
        <v>South</v>
      </c>
      <c r="H212" t="s">
        <v>162</v>
      </c>
      <c r="I212" t="str">
        <f>IF(TRIM(sales_dataset[[#This Row],[SalespersonName]])="",I215,PROPER(TRIM(sales_dataset[[#This Row],[SalespersonName]])))</f>
        <v>Anita</v>
      </c>
      <c r="J212" s="1" t="s">
        <v>159</v>
      </c>
      <c r="K212" s="1" t="str">
        <f>PROPER(sales_dataset[[#This Row],[ProductCategory cleaned]])</f>
        <v>Electronics</v>
      </c>
      <c r="L212" s="1" t="str">
        <f>PROPER(sales_dataset[[#This Row],[ProductName]])</f>
        <v>Tv</v>
      </c>
      <c r="M212">
        <f>ABS(sales_dataset!W:W)</f>
        <v>4</v>
      </c>
      <c r="N212">
        <f>ABS(sales_dataset[[#This Row],[Column4]])</f>
        <v>1500</v>
      </c>
      <c r="O212">
        <f t="shared" si="3"/>
        <v>6000</v>
      </c>
    </row>
    <row r="213" spans="1:15" x14ac:dyDescent="0.3">
      <c r="A213" s="1" t="s">
        <v>538</v>
      </c>
      <c r="B213" s="2">
        <v>45473</v>
      </c>
      <c r="C213" s="1" t="str">
        <f>IF(TRIM(sales_dataset[[#This Row],[SalesChannel]])="",sales_dataset!C214,PROPER(TRIM(sales_dataset[[#This Row],[SalesChannel]])))</f>
        <v>Offline</v>
      </c>
      <c r="D213" s="1" t="s">
        <v>444</v>
      </c>
      <c r="E213" s="1" t="str">
        <f>IF(TRIM(sales_dataset[[#This Row],[CustomerName]])="",sales_dataset!F219, PROPER(TRIM(sales_dataset[[#This Row],[CustomerName]])))</f>
        <v>John</v>
      </c>
      <c r="F213" s="1" t="str">
        <f>IF(TRIM(sales_dataset[[#This Row],[City]])="", sales_dataset!$H$3, PROPER(TRIM(sales_dataset[[#This Row],[City]])))</f>
        <v>Bengaluru</v>
      </c>
      <c r="G213" t="str">
        <f>PROPER(sales_dataset[[#This Row],[Region cleaned]])</f>
        <v>South</v>
      </c>
      <c r="H213" t="s">
        <v>433</v>
      </c>
      <c r="I213" t="str">
        <f>IF(TRIM(sales_dataset[[#This Row],[SalespersonName]])="",I216,PROPER(TRIM(sales_dataset[[#This Row],[SalespersonName]])))</f>
        <v>Megha</v>
      </c>
      <c r="J213" s="1" t="s">
        <v>57</v>
      </c>
      <c r="K213" s="1" t="str">
        <f>PROPER(sales_dataset[[#This Row],[ProductCategory cleaned]])</f>
        <v>Home</v>
      </c>
      <c r="L213" s="1" t="str">
        <f>PROPER(sales_dataset[[#This Row],[ProductName]])</f>
        <v>Laptop</v>
      </c>
      <c r="M213">
        <f>ABS(sales_dataset!W:W)</f>
        <v>2</v>
      </c>
      <c r="N213">
        <f>ABS(sales_dataset[[#This Row],[Column4]])</f>
        <v>100</v>
      </c>
      <c r="O213">
        <f t="shared" si="3"/>
        <v>200</v>
      </c>
    </row>
    <row r="214" spans="1:15" x14ac:dyDescent="0.3">
      <c r="A214" s="1" t="s">
        <v>539</v>
      </c>
      <c r="B214" s="2">
        <v>45508</v>
      </c>
      <c r="C214" s="1" t="str">
        <f>IF(TRIM(sales_dataset[[#This Row],[SalesChannel]])="",sales_dataset!C215,PROPER(TRIM(sales_dataset[[#This Row],[SalesChannel]])))</f>
        <v>Store</v>
      </c>
      <c r="D214" s="1" t="s">
        <v>161</v>
      </c>
      <c r="E214" s="1" t="str">
        <f>IF(TRIM(sales_dataset[[#This Row],[CustomerName]])="",sales_dataset!F220, PROPER(TRIM(sales_dataset[[#This Row],[CustomerName]])))</f>
        <v>Priya</v>
      </c>
      <c r="F214" s="1" t="str">
        <f>IF(TRIM(sales_dataset[[#This Row],[City]])="", sales_dataset!$H$3, PROPER(TRIM(sales_dataset[[#This Row],[City]])))</f>
        <v>Delhi</v>
      </c>
      <c r="G214" t="str">
        <f>PROPER(sales_dataset[[#This Row],[Region cleaned]])</f>
        <v>North</v>
      </c>
      <c r="H214" t="s">
        <v>162</v>
      </c>
      <c r="I214" t="str">
        <f>IF(TRIM(sales_dataset[[#This Row],[SalespersonName]])="",I217,PROPER(TRIM(sales_dataset[[#This Row],[SalespersonName]])))</f>
        <v>Megha</v>
      </c>
      <c r="J214" s="1" t="s">
        <v>477</v>
      </c>
      <c r="K214" s="1" t="str">
        <f>PROPER(sales_dataset[[#This Row],[ProductCategory cleaned]])</f>
        <v>Electronics</v>
      </c>
      <c r="L214" s="1" t="str">
        <f>PROPER(sales_dataset[[#This Row],[ProductName]])</f>
        <v>Shirt</v>
      </c>
      <c r="M214">
        <f>ABS(sales_dataset!W:W)</f>
        <v>1</v>
      </c>
      <c r="N214">
        <f>ABS(sales_dataset[[#This Row],[Column4]])</f>
        <v>1500</v>
      </c>
      <c r="O214">
        <f t="shared" si="3"/>
        <v>1500</v>
      </c>
    </row>
    <row r="215" spans="1:15" x14ac:dyDescent="0.3">
      <c r="A215" s="1" t="s">
        <v>540</v>
      </c>
      <c r="B215" s="2">
        <v>45502</v>
      </c>
      <c r="C215" s="1" t="str">
        <f>IF(TRIM(sales_dataset[[#This Row],[SalesChannel]])="",sales_dataset!C216,PROPER(TRIM(sales_dataset[[#This Row],[SalesChannel]])))</f>
        <v>Store</v>
      </c>
      <c r="D215" s="1" t="s">
        <v>541</v>
      </c>
      <c r="E215" s="1" t="str">
        <f>IF(TRIM(sales_dataset[[#This Row],[CustomerName]])="",sales_dataset!F221, PROPER(TRIM(sales_dataset[[#This Row],[CustomerName]])))</f>
        <v>Priya</v>
      </c>
      <c r="F215" s="1" t="str">
        <f>IF(TRIM(sales_dataset[[#This Row],[City]])="", sales_dataset!$H$3, PROPER(TRIM(sales_dataset[[#This Row],[City]])))</f>
        <v>Bengaluru</v>
      </c>
      <c r="G215" t="str">
        <f>PROPER(sales_dataset[[#This Row],[Region cleaned]])</f>
        <v>North</v>
      </c>
      <c r="H215" t="s">
        <v>427</v>
      </c>
      <c r="I215" t="str">
        <f>IF(TRIM(sales_dataset[[#This Row],[SalespersonName]])="",I218,PROPER(TRIM(sales_dataset[[#This Row],[SalespersonName]])))</f>
        <v>Kevin</v>
      </c>
      <c r="J215" s="1" t="s">
        <v>133</v>
      </c>
      <c r="K215" s="1" t="str">
        <f>PROPER(sales_dataset[[#This Row],[ProductCategory cleaned]])</f>
        <v>Electronics</v>
      </c>
      <c r="L215" s="1" t="str">
        <f>PROPER(sales_dataset[[#This Row],[ProductName]])</f>
        <v>Sofa</v>
      </c>
      <c r="M215">
        <f>ABS(sales_dataset!W:W)</f>
        <v>1</v>
      </c>
      <c r="N215">
        <f>ABS(sales_dataset[[#This Row],[Column4]])</f>
        <v>500</v>
      </c>
      <c r="O215">
        <f t="shared" si="3"/>
        <v>500</v>
      </c>
    </row>
    <row r="216" spans="1:15" x14ac:dyDescent="0.3">
      <c r="A216" s="1" t="s">
        <v>542</v>
      </c>
      <c r="B216" s="2">
        <v>45531</v>
      </c>
      <c r="C216" s="1" t="str">
        <f>IF(TRIM(sales_dataset[[#This Row],[SalesChannel]])="",sales_dataset!C217,PROPER(TRIM(sales_dataset[[#This Row],[SalesChannel]])))</f>
        <v>Online</v>
      </c>
      <c r="D216" s="1" t="s">
        <v>543</v>
      </c>
      <c r="E216" s="1" t="str">
        <f>IF(TRIM(sales_dataset[[#This Row],[CustomerName]])="",sales_dataset!F222, PROPER(TRIM(sales_dataset[[#This Row],[CustomerName]])))</f>
        <v>Amit</v>
      </c>
      <c r="F216" s="1" t="str">
        <f>IF(TRIM(sales_dataset[[#This Row],[City]])="", sales_dataset!$H$3, PROPER(TRIM(sales_dataset[[#This Row],[City]])))</f>
        <v>Bengaluru</v>
      </c>
      <c r="G216" t="str">
        <f>PROPER(sales_dataset[[#This Row],[Region cleaned]])</f>
        <v>West</v>
      </c>
      <c r="H216" t="s">
        <v>99</v>
      </c>
      <c r="I216" t="str">
        <f>IF(TRIM(sales_dataset[[#This Row],[SalespersonName]])="",I219,PROPER(TRIM(sales_dataset[[#This Row],[SalespersonName]])))</f>
        <v>Megha</v>
      </c>
      <c r="J216" s="1" t="s">
        <v>187</v>
      </c>
      <c r="K216" s="1" t="str">
        <f>PROPER(sales_dataset[[#This Row],[ProductCategory cleaned]])</f>
        <v>Electronics</v>
      </c>
      <c r="L216" s="1" t="str">
        <f>PROPER(sales_dataset[[#This Row],[ProductName]])</f>
        <v>Laptop</v>
      </c>
      <c r="M216">
        <f>ABS(sales_dataset!W:W)</f>
        <v>5</v>
      </c>
      <c r="N216">
        <f>ABS(sales_dataset[[#This Row],[Column4]])</f>
        <v>1500</v>
      </c>
      <c r="O216">
        <f t="shared" si="3"/>
        <v>7500</v>
      </c>
    </row>
    <row r="217" spans="1:15" x14ac:dyDescent="0.3">
      <c r="A217" s="1" t="s">
        <v>544</v>
      </c>
      <c r="B217" s="2">
        <v>45319</v>
      </c>
      <c r="C217" s="1" t="str">
        <f>IF(TRIM(sales_dataset[[#This Row],[SalesChannel]])="",sales_dataset!C218,PROPER(TRIM(sales_dataset[[#This Row],[SalesChannel]])))</f>
        <v>Online</v>
      </c>
      <c r="D217" s="1" t="s">
        <v>545</v>
      </c>
      <c r="E217" s="1" t="str">
        <f>IF(TRIM(sales_dataset[[#This Row],[CustomerName]])="",sales_dataset!F223, PROPER(TRIM(sales_dataset[[#This Row],[CustomerName]])))</f>
        <v>Amit</v>
      </c>
      <c r="F217" s="1" t="str">
        <f>IF(TRIM(sales_dataset[[#This Row],[City]])="", sales_dataset!$H$3, PROPER(TRIM(sales_dataset[[#This Row],[City]])))</f>
        <v>Mumbai</v>
      </c>
      <c r="G217" t="str">
        <f>PROPER(sales_dataset[[#This Row],[Region cleaned]])</f>
        <v>North</v>
      </c>
      <c r="H217" t="s">
        <v>343</v>
      </c>
      <c r="I217" t="str">
        <f>IF(TRIM(sales_dataset[[#This Row],[SalespersonName]])="",I220,PROPER(TRIM(sales_dataset[[#This Row],[SalespersonName]])))</f>
        <v>Megha</v>
      </c>
      <c r="J217" s="1" t="s">
        <v>112</v>
      </c>
      <c r="K217" s="1" t="str">
        <f>PROPER(sales_dataset[[#This Row],[ProductCategory cleaned]])</f>
        <v>Electronics</v>
      </c>
      <c r="L217" s="1" t="str">
        <f>PROPER(sales_dataset[[#This Row],[ProductName]])</f>
        <v>Watch</v>
      </c>
      <c r="M217">
        <f>ABS(sales_dataset!W:W)</f>
        <v>1</v>
      </c>
      <c r="N217">
        <f>ABS(sales_dataset[[#This Row],[Column4]])</f>
        <v>500</v>
      </c>
      <c r="O217">
        <f t="shared" si="3"/>
        <v>500</v>
      </c>
    </row>
    <row r="218" spans="1:15" x14ac:dyDescent="0.3">
      <c r="A218" s="1" t="s">
        <v>546</v>
      </c>
      <c r="B218" s="2">
        <v>45342</v>
      </c>
      <c r="C218" s="1" t="str">
        <f>IF(TRIM(sales_dataset[[#This Row],[SalesChannel]])="",sales_dataset!C219,PROPER(TRIM(sales_dataset[[#This Row],[SalesChannel]])))</f>
        <v>Online</v>
      </c>
      <c r="D218" s="1" t="s">
        <v>300</v>
      </c>
      <c r="E218" s="1" t="str">
        <f>IF(TRIM(sales_dataset[[#This Row],[CustomerName]])="",sales_dataset!F224, PROPER(TRIM(sales_dataset[[#This Row],[CustomerName]])))</f>
        <v>Sara</v>
      </c>
      <c r="F218" s="1" t="str">
        <f>IF(TRIM(sales_dataset[[#This Row],[City]])="", sales_dataset!$H$3, PROPER(TRIM(sales_dataset[[#This Row],[City]])))</f>
        <v>Bengaluru</v>
      </c>
      <c r="G218" t="str">
        <f>PROPER(sales_dataset[[#This Row],[Region cleaned]])</f>
        <v>East</v>
      </c>
      <c r="H218" t="s">
        <v>190</v>
      </c>
      <c r="I218" t="str">
        <f>IF(TRIM(sales_dataset[[#This Row],[SalespersonName]])="",I221,PROPER(TRIM(sales_dataset[[#This Row],[SalespersonName]])))</f>
        <v>Megha</v>
      </c>
      <c r="J218" s="1" t="s">
        <v>245</v>
      </c>
      <c r="K218" s="1" t="str">
        <f>PROPER(sales_dataset[[#This Row],[ProductCategory cleaned]])</f>
        <v>Clothing</v>
      </c>
      <c r="L218" s="1" t="str">
        <f>PROPER(sales_dataset[[#This Row],[ProductName]])</f>
        <v>Watch</v>
      </c>
      <c r="M218">
        <f>ABS(sales_dataset!W:W)</f>
        <v>4</v>
      </c>
      <c r="N218">
        <f>ABS(sales_dataset[[#This Row],[Column4]])</f>
        <v>100</v>
      </c>
      <c r="O218">
        <f t="shared" si="3"/>
        <v>400</v>
      </c>
    </row>
    <row r="219" spans="1:15" x14ac:dyDescent="0.3">
      <c r="A219" s="1" t="s">
        <v>547</v>
      </c>
      <c r="B219" s="2">
        <v>45323</v>
      </c>
      <c r="C219" s="1" t="str">
        <f>IF(TRIM(sales_dataset[[#This Row],[SalesChannel]])="",sales_dataset!C220,PROPER(TRIM(sales_dataset[[#This Row],[SalesChannel]])))</f>
        <v>Offline</v>
      </c>
      <c r="D219" s="1" t="s">
        <v>548</v>
      </c>
      <c r="E219" s="1" t="str">
        <f>IF(TRIM(sales_dataset[[#This Row],[CustomerName]])="",sales_dataset!F225, PROPER(TRIM(sales_dataset[[#This Row],[CustomerName]])))</f>
        <v>John</v>
      </c>
      <c r="F219" s="1" t="str">
        <f>IF(TRIM(sales_dataset[[#This Row],[City]])="", sales_dataset!$H$3, PROPER(TRIM(sales_dataset[[#This Row],[City]])))</f>
        <v>Delhi</v>
      </c>
      <c r="G219" t="str">
        <f>PROPER(sales_dataset[[#This Row],[Region cleaned]])</f>
        <v>South</v>
      </c>
      <c r="H219" t="s">
        <v>413</v>
      </c>
      <c r="I219" t="str">
        <f>IF(TRIM(sales_dataset[[#This Row],[SalespersonName]])="",I222,PROPER(TRIM(sales_dataset[[#This Row],[SalespersonName]])))</f>
        <v>Sam</v>
      </c>
      <c r="J219" s="1" t="s">
        <v>404</v>
      </c>
      <c r="K219" s="1" t="str">
        <f>PROPER(sales_dataset[[#This Row],[ProductCategory cleaned]])</f>
        <v>Clothing</v>
      </c>
      <c r="L219" s="1" t="str">
        <f>PROPER(sales_dataset[[#This Row],[ProductName]])</f>
        <v>Shirt</v>
      </c>
      <c r="M219">
        <f>ABS(sales_dataset!W:W)</f>
        <v>3</v>
      </c>
      <c r="N219">
        <f>ABS(sales_dataset[[#This Row],[Column4]])</f>
        <v>2000</v>
      </c>
      <c r="O219">
        <f t="shared" si="3"/>
        <v>6000</v>
      </c>
    </row>
    <row r="220" spans="1:15" x14ac:dyDescent="0.3">
      <c r="A220" s="1" t="s">
        <v>549</v>
      </c>
      <c r="B220" s="2">
        <v>45498</v>
      </c>
      <c r="C220" s="1" t="str">
        <f>IF(TRIM(sales_dataset[[#This Row],[SalesChannel]])="",sales_dataset!C221,PROPER(TRIM(sales_dataset[[#This Row],[SalesChannel]])))</f>
        <v>Store</v>
      </c>
      <c r="D220" s="1" t="s">
        <v>59</v>
      </c>
      <c r="E220" s="1" t="str">
        <f>IF(TRIM(sales_dataset[[#This Row],[CustomerName]])="",sales_dataset!F226, PROPER(TRIM(sales_dataset[[#This Row],[CustomerName]])))</f>
        <v>Priya</v>
      </c>
      <c r="F220" s="1" t="str">
        <f>IF(TRIM(sales_dataset[[#This Row],[City]])="", sales_dataset!$H$3, PROPER(TRIM(sales_dataset[[#This Row],[City]])))</f>
        <v>Hyderabad</v>
      </c>
      <c r="G220" t="str">
        <f>PROPER(sales_dataset[[#This Row],[Region cleaned]])</f>
        <v>North</v>
      </c>
      <c r="H220" t="s">
        <v>343</v>
      </c>
      <c r="I220" t="str">
        <f>IF(TRIM(sales_dataset[[#This Row],[SalespersonName]])="",I223,PROPER(TRIM(sales_dataset[[#This Row],[SalespersonName]])))</f>
        <v>Anita</v>
      </c>
      <c r="J220" s="1" t="s">
        <v>296</v>
      </c>
      <c r="K220" s="1" t="str">
        <f>PROPER(sales_dataset[[#This Row],[ProductCategory cleaned]])</f>
        <v>Electronics</v>
      </c>
      <c r="L220" s="1" t="str">
        <f>PROPER(sales_dataset[[#This Row],[ProductName]])</f>
        <v>Shirt</v>
      </c>
      <c r="M220">
        <f>ABS(sales_dataset!W:W)</f>
        <v>1</v>
      </c>
      <c r="N220">
        <f>ABS(sales_dataset[[#This Row],[Column4]])</f>
        <v>2500</v>
      </c>
      <c r="O220">
        <f t="shared" si="3"/>
        <v>2500</v>
      </c>
    </row>
    <row r="221" spans="1:15" x14ac:dyDescent="0.3">
      <c r="A221" s="1" t="s">
        <v>550</v>
      </c>
      <c r="B221" s="2">
        <v>45465</v>
      </c>
      <c r="C221" s="1" t="str">
        <f>IF(TRIM(sales_dataset[[#This Row],[SalesChannel]])="",sales_dataset!C222,PROPER(TRIM(sales_dataset[[#This Row],[SalesChannel]])))</f>
        <v>Store</v>
      </c>
      <c r="D221" s="1" t="s">
        <v>551</v>
      </c>
      <c r="E221" s="1" t="str">
        <f>IF(TRIM(sales_dataset[[#This Row],[CustomerName]])="",sales_dataset!F227, PROPER(TRIM(sales_dataset[[#This Row],[CustomerName]])))</f>
        <v>Priya</v>
      </c>
      <c r="F221" s="1" t="str">
        <f>IF(TRIM(sales_dataset[[#This Row],[City]])="", sales_dataset!$H$3, PROPER(TRIM(sales_dataset[[#This Row],[City]])))</f>
        <v>Hyderabad</v>
      </c>
      <c r="G221" t="str">
        <f>PROPER(sales_dataset[[#This Row],[Region cleaned]])</f>
        <v>South</v>
      </c>
      <c r="H221" t="s">
        <v>148</v>
      </c>
      <c r="I221" t="str">
        <f>IF(TRIM(sales_dataset[[#This Row],[SalespersonName]])="",I224,PROPER(TRIM(sales_dataset[[#This Row],[SalespersonName]])))</f>
        <v>Megha</v>
      </c>
      <c r="J221" s="1" t="s">
        <v>242</v>
      </c>
      <c r="K221" s="1" t="str">
        <f>PROPER(sales_dataset[[#This Row],[ProductCategory cleaned]])</f>
        <v>Electronics</v>
      </c>
      <c r="L221" s="1" t="str">
        <f>PROPER(sales_dataset[[#This Row],[ProductName]])</f>
        <v>Sofa</v>
      </c>
      <c r="M221">
        <f>ABS(sales_dataset!W:W)</f>
        <v>3</v>
      </c>
      <c r="N221">
        <f>ABS(sales_dataset[[#This Row],[Column4]])</f>
        <v>500</v>
      </c>
      <c r="O221">
        <f t="shared" si="3"/>
        <v>1500</v>
      </c>
    </row>
    <row r="222" spans="1:15" x14ac:dyDescent="0.3">
      <c r="A222" s="1" t="s">
        <v>552</v>
      </c>
      <c r="B222" s="2">
        <v>45347</v>
      </c>
      <c r="C222" s="1" t="str">
        <f>IF(TRIM(sales_dataset[[#This Row],[SalesChannel]])="",sales_dataset!C223,PROPER(TRIM(sales_dataset[[#This Row],[SalesChannel]])))</f>
        <v>Online</v>
      </c>
      <c r="D222" s="1" t="s">
        <v>553</v>
      </c>
      <c r="E222" s="1" t="str">
        <f>IF(TRIM(sales_dataset[[#This Row],[CustomerName]])="",sales_dataset!F228, PROPER(TRIM(sales_dataset[[#This Row],[CustomerName]])))</f>
        <v>Amit</v>
      </c>
      <c r="F222" s="1" t="str">
        <f>IF(TRIM(sales_dataset[[#This Row],[City]])="", sales_dataset!$H$3, PROPER(TRIM(sales_dataset[[#This Row],[City]])))</f>
        <v>Mumbai</v>
      </c>
      <c r="G222" t="str">
        <f>PROPER(sales_dataset[[#This Row],[Region cleaned]])</f>
        <v>North</v>
      </c>
      <c r="H222" t="s">
        <v>38</v>
      </c>
      <c r="I222" t="str">
        <f>IF(TRIM(sales_dataset[[#This Row],[SalespersonName]])="",I225,PROPER(TRIM(sales_dataset[[#This Row],[SalespersonName]])))</f>
        <v>Sam</v>
      </c>
      <c r="J222" s="1" t="s">
        <v>477</v>
      </c>
      <c r="K222" s="1" t="str">
        <f>PROPER(sales_dataset[[#This Row],[ProductCategory cleaned]])</f>
        <v>Electronics</v>
      </c>
      <c r="L222" s="1" t="str">
        <f>PROPER(sales_dataset[[#This Row],[ProductName]])</f>
        <v>Tv</v>
      </c>
      <c r="M222">
        <f>ABS(sales_dataset!W:W)</f>
        <v>1</v>
      </c>
      <c r="N222">
        <f>ABS(sales_dataset[[#This Row],[Column4]])</f>
        <v>2500</v>
      </c>
      <c r="O222">
        <f t="shared" si="3"/>
        <v>2500</v>
      </c>
    </row>
    <row r="223" spans="1:15" x14ac:dyDescent="0.3">
      <c r="A223" s="1" t="s">
        <v>554</v>
      </c>
      <c r="B223" s="2">
        <v>45419</v>
      </c>
      <c r="C223" s="1" t="str">
        <f>IF(TRIM(sales_dataset[[#This Row],[SalesChannel]])="",sales_dataset!C224,PROPER(TRIM(sales_dataset[[#This Row],[SalesChannel]])))</f>
        <v>Online</v>
      </c>
      <c r="D223" s="1" t="s">
        <v>555</v>
      </c>
      <c r="E223" s="1" t="str">
        <f>IF(TRIM(sales_dataset[[#This Row],[CustomerName]])="",sales_dataset!F229, PROPER(TRIM(sales_dataset[[#This Row],[CustomerName]])))</f>
        <v>Amit</v>
      </c>
      <c r="F223" s="1" t="str">
        <f>IF(TRIM(sales_dataset[[#This Row],[City]])="", sales_dataset!$H$3, PROPER(TRIM(sales_dataset[[#This Row],[City]])))</f>
        <v>Mumbai</v>
      </c>
      <c r="G223" t="str">
        <f>PROPER(sales_dataset[[#This Row],[Region cleaned]])</f>
        <v>East</v>
      </c>
      <c r="H223" t="s">
        <v>218</v>
      </c>
      <c r="I223" t="str">
        <f>IF(TRIM(sales_dataset[[#This Row],[SalespersonName]])="",I226,PROPER(TRIM(sales_dataset[[#This Row],[SalespersonName]])))</f>
        <v>Raj</v>
      </c>
      <c r="J223" s="1" t="s">
        <v>556</v>
      </c>
      <c r="K223" s="1" t="str">
        <f>PROPER(sales_dataset[[#This Row],[ProductCategory cleaned]])</f>
        <v>Electronics</v>
      </c>
      <c r="L223" s="1" t="str">
        <f>PROPER(sales_dataset[[#This Row],[ProductName]])</f>
        <v>Sofa</v>
      </c>
      <c r="M223">
        <f>ABS(sales_dataset!W:W)</f>
        <v>2</v>
      </c>
      <c r="N223">
        <f>ABS(sales_dataset[[#This Row],[Column4]])</f>
        <v>2000</v>
      </c>
      <c r="O223">
        <f t="shared" si="3"/>
        <v>4000</v>
      </c>
    </row>
    <row r="224" spans="1:15" x14ac:dyDescent="0.3">
      <c r="A224" s="1" t="s">
        <v>557</v>
      </c>
      <c r="B224" s="2">
        <v>45390</v>
      </c>
      <c r="C224" s="1" t="str">
        <f>IF(TRIM(sales_dataset[[#This Row],[SalesChannel]])="",sales_dataset!C225,PROPER(TRIM(sales_dataset[[#This Row],[SalesChannel]])))</f>
        <v>Online</v>
      </c>
      <c r="D224" s="1" t="s">
        <v>558</v>
      </c>
      <c r="E224" s="1" t="str">
        <f>IF(TRIM(sales_dataset[[#This Row],[CustomerName]])="",sales_dataset!F230, PROPER(TRIM(sales_dataset[[#This Row],[CustomerName]])))</f>
        <v>Priya</v>
      </c>
      <c r="F224" s="1" t="str">
        <f>IF(TRIM(sales_dataset[[#This Row],[City]])="", sales_dataset!$H$3, PROPER(TRIM(sales_dataset[[#This Row],[City]])))</f>
        <v>Delhi</v>
      </c>
      <c r="G224" t="str">
        <f>PROPER(sales_dataset[[#This Row],[Region cleaned]])</f>
        <v>East</v>
      </c>
      <c r="H224" t="s">
        <v>195</v>
      </c>
      <c r="I224" t="str">
        <f>IF(TRIM(sales_dataset[[#This Row],[SalespersonName]])="",I227,PROPER(TRIM(sales_dataset[[#This Row],[SalespersonName]])))</f>
        <v>Raj</v>
      </c>
      <c r="J224" s="1" t="s">
        <v>130</v>
      </c>
      <c r="K224" s="1" t="str">
        <f>PROPER(sales_dataset[[#This Row],[ProductCategory cleaned]])</f>
        <v>Electronics</v>
      </c>
      <c r="L224" s="1" t="str">
        <f>PROPER(sales_dataset[[#This Row],[ProductName]])</f>
        <v>Shirt</v>
      </c>
      <c r="M224">
        <f>ABS(sales_dataset!W:W)</f>
        <v>4</v>
      </c>
      <c r="N224">
        <f>ABS(sales_dataset[[#This Row],[Column4]])</f>
        <v>2000</v>
      </c>
      <c r="O224">
        <f t="shared" si="3"/>
        <v>8000</v>
      </c>
    </row>
    <row r="225" spans="1:15" x14ac:dyDescent="0.3">
      <c r="A225" s="1" t="s">
        <v>559</v>
      </c>
      <c r="B225" s="2">
        <v>45389</v>
      </c>
      <c r="C225" s="1" t="str">
        <f>IF(TRIM(sales_dataset[[#This Row],[SalesChannel]])="",sales_dataset!C226,PROPER(TRIM(sales_dataset[[#This Row],[SalesChannel]])))</f>
        <v>Offline</v>
      </c>
      <c r="D225" s="1" t="s">
        <v>560</v>
      </c>
      <c r="E225" s="1" t="str">
        <f>IF(TRIM(sales_dataset[[#This Row],[CustomerName]])="",sales_dataset!F231, PROPER(TRIM(sales_dataset[[#This Row],[CustomerName]])))</f>
        <v>John</v>
      </c>
      <c r="F225" s="1" t="str">
        <f>IF(TRIM(sales_dataset[[#This Row],[City]])="", sales_dataset!$H$3, PROPER(TRIM(sales_dataset[[#This Row],[City]])))</f>
        <v>Delhi</v>
      </c>
      <c r="G225" t="str">
        <f>PROPER(sales_dataset[[#This Row],[Region cleaned]])</f>
        <v>North</v>
      </c>
      <c r="H225" t="s">
        <v>20</v>
      </c>
      <c r="I225" t="str">
        <f>IF(TRIM(sales_dataset[[#This Row],[SalespersonName]])="",I228,PROPER(TRIM(sales_dataset[[#This Row],[SalespersonName]])))</f>
        <v>Sam</v>
      </c>
      <c r="J225" s="1" t="s">
        <v>57</v>
      </c>
      <c r="K225" s="1" t="str">
        <f>PROPER(sales_dataset[[#This Row],[ProductCategory cleaned]])</f>
        <v>Electronics</v>
      </c>
      <c r="L225" s="1" t="str">
        <f>PROPER(sales_dataset[[#This Row],[ProductName]])</f>
        <v>Shirt</v>
      </c>
      <c r="M225">
        <f>ABS(sales_dataset!W:W)</f>
        <v>3</v>
      </c>
      <c r="N225">
        <f>ABS(sales_dataset[[#This Row],[Column4]])</f>
        <v>100</v>
      </c>
      <c r="O225">
        <f t="shared" si="3"/>
        <v>300</v>
      </c>
    </row>
    <row r="226" spans="1:15" x14ac:dyDescent="0.3">
      <c r="A226" s="1" t="s">
        <v>561</v>
      </c>
      <c r="B226" s="2">
        <v>45566</v>
      </c>
      <c r="C226" s="1" t="str">
        <f>IF(TRIM(sales_dataset[[#This Row],[SalesChannel]])="",sales_dataset!C227,PROPER(TRIM(sales_dataset[[#This Row],[SalesChannel]])))</f>
        <v>Store</v>
      </c>
      <c r="D226" s="1" t="s">
        <v>267</v>
      </c>
      <c r="E226" s="1" t="str">
        <f>IF(TRIM(sales_dataset[[#This Row],[CustomerName]])="",sales_dataset!F232, PROPER(TRIM(sales_dataset[[#This Row],[CustomerName]])))</f>
        <v>Amit</v>
      </c>
      <c r="F226" s="1" t="str">
        <f>IF(TRIM(sales_dataset[[#This Row],[City]])="", sales_dataset!$H$3, PROPER(TRIM(sales_dataset[[#This Row],[City]])))</f>
        <v>Delhi</v>
      </c>
      <c r="G226" t="str">
        <f>PROPER(sales_dataset[[#This Row],[Region cleaned]])</f>
        <v>West</v>
      </c>
      <c r="H226" t="s">
        <v>129</v>
      </c>
      <c r="I226" t="str">
        <f>IF(TRIM(sales_dataset[[#This Row],[SalespersonName]])="",I229,PROPER(TRIM(sales_dataset[[#This Row],[SalespersonName]])))</f>
        <v>Raj</v>
      </c>
      <c r="J226" s="1" t="s">
        <v>377</v>
      </c>
      <c r="K226" s="1" t="str">
        <f>PROPER(sales_dataset[[#This Row],[ProductCategory cleaned]])</f>
        <v>Clothing</v>
      </c>
      <c r="L226" s="1" t="str">
        <f>PROPER(sales_dataset[[#This Row],[ProductName]])</f>
        <v>Laptop</v>
      </c>
      <c r="M226">
        <f>ABS(sales_dataset!W:W)</f>
        <v>3</v>
      </c>
      <c r="N226">
        <f>ABS(sales_dataset[[#This Row],[Column4]])</f>
        <v>2000</v>
      </c>
      <c r="O226">
        <f t="shared" si="3"/>
        <v>6000</v>
      </c>
    </row>
    <row r="227" spans="1:15" x14ac:dyDescent="0.3">
      <c r="A227" s="1" t="s">
        <v>562</v>
      </c>
      <c r="B227" s="2">
        <v>45521</v>
      </c>
      <c r="C227" s="1" t="str">
        <f>IF(TRIM(sales_dataset[[#This Row],[SalesChannel]])="",sales_dataset!C228,PROPER(TRIM(sales_dataset[[#This Row],[SalesChannel]])))</f>
        <v>Store</v>
      </c>
      <c r="D227" s="1" t="s">
        <v>349</v>
      </c>
      <c r="E227" s="1" t="str">
        <f>IF(TRIM(sales_dataset[[#This Row],[CustomerName]])="",sales_dataset!F233, PROPER(TRIM(sales_dataset[[#This Row],[CustomerName]])))</f>
        <v>Priya</v>
      </c>
      <c r="F227" s="1" t="str">
        <f>IF(TRIM(sales_dataset[[#This Row],[City]])="", sales_dataset!$H$3, PROPER(TRIM(sales_dataset[[#This Row],[City]])))</f>
        <v>Hyderabad</v>
      </c>
      <c r="G227" t="str">
        <f>PROPER(sales_dataset[[#This Row],[Region cleaned]])</f>
        <v>North</v>
      </c>
      <c r="H227" t="s">
        <v>67</v>
      </c>
      <c r="I227" t="str">
        <f>IF(TRIM(sales_dataset[[#This Row],[SalespersonName]])="",I230,PROPER(TRIM(sales_dataset[[#This Row],[SalespersonName]])))</f>
        <v>Raj</v>
      </c>
      <c r="J227" s="1" t="s">
        <v>170</v>
      </c>
      <c r="K227" s="1" t="str">
        <f>PROPER(sales_dataset[[#This Row],[ProductCategory cleaned]])</f>
        <v>Clothing</v>
      </c>
      <c r="L227" s="1" t="str">
        <f>PROPER(sales_dataset[[#This Row],[ProductName]])</f>
        <v>Tv</v>
      </c>
      <c r="M227">
        <f>ABS(sales_dataset!W:W)</f>
        <v>4</v>
      </c>
      <c r="N227">
        <f>ABS(sales_dataset[[#This Row],[Column4]])</f>
        <v>500</v>
      </c>
      <c r="O227">
        <f t="shared" si="3"/>
        <v>2000</v>
      </c>
    </row>
    <row r="228" spans="1:15" x14ac:dyDescent="0.3">
      <c r="A228" s="1" t="s">
        <v>563</v>
      </c>
      <c r="B228" s="2">
        <v>45363</v>
      </c>
      <c r="C228" s="1" t="str">
        <f>IF(TRIM(sales_dataset[[#This Row],[SalesChannel]])="",sales_dataset!C229,PROPER(TRIM(sales_dataset[[#This Row],[SalesChannel]])))</f>
        <v>Online</v>
      </c>
      <c r="D228" s="1" t="s">
        <v>84</v>
      </c>
      <c r="E228" s="1" t="str">
        <f>IF(TRIM(sales_dataset[[#This Row],[CustomerName]])="",sales_dataset!F234, PROPER(TRIM(sales_dataset[[#This Row],[CustomerName]])))</f>
        <v>Priya</v>
      </c>
      <c r="F228" s="1" t="str">
        <f>IF(TRIM(sales_dataset[[#This Row],[City]])="", sales_dataset!$H$3, PROPER(TRIM(sales_dataset[[#This Row],[City]])))</f>
        <v>Mumbai</v>
      </c>
      <c r="G228" t="str">
        <f>PROPER(sales_dataset[[#This Row],[Region cleaned]])</f>
        <v>West</v>
      </c>
      <c r="H228" t="s">
        <v>99</v>
      </c>
      <c r="I228" t="str">
        <f>IF(TRIM(sales_dataset[[#This Row],[SalespersonName]])="",I231,PROPER(TRIM(sales_dataset[[#This Row],[SalespersonName]])))</f>
        <v>Anita</v>
      </c>
      <c r="J228" s="1" t="s">
        <v>498</v>
      </c>
      <c r="K228" s="1" t="str">
        <f>PROPER(sales_dataset[[#This Row],[ProductCategory cleaned]])</f>
        <v>Home</v>
      </c>
      <c r="L228" s="1" t="str">
        <f>PROPER(sales_dataset[[#This Row],[ProductName]])</f>
        <v>Shirt</v>
      </c>
      <c r="M228">
        <f>ABS(sales_dataset!W:W)</f>
        <v>1</v>
      </c>
      <c r="N228">
        <f>ABS(sales_dataset[[#This Row],[Column4]])</f>
        <v>0</v>
      </c>
      <c r="O228">
        <f t="shared" si="3"/>
        <v>0</v>
      </c>
    </row>
    <row r="229" spans="1:15" x14ac:dyDescent="0.3">
      <c r="A229" s="1" t="s">
        <v>564</v>
      </c>
      <c r="B229" s="2">
        <v>45508</v>
      </c>
      <c r="C229" s="1" t="str">
        <f>IF(TRIM(sales_dataset[[#This Row],[SalesChannel]])="",sales_dataset!C230,PROPER(TRIM(sales_dataset[[#This Row],[SalesChannel]])))</f>
        <v>Online</v>
      </c>
      <c r="D229" s="1" t="s">
        <v>565</v>
      </c>
      <c r="E229" s="1" t="str">
        <f>IF(TRIM(sales_dataset[[#This Row],[CustomerName]])="",sales_dataset!F235, PROPER(TRIM(sales_dataset[[#This Row],[CustomerName]])))</f>
        <v>Priya</v>
      </c>
      <c r="F229" s="1" t="str">
        <f>IF(TRIM(sales_dataset[[#This Row],[City]])="", sales_dataset!$H$3, PROPER(TRIM(sales_dataset[[#This Row],[City]])))</f>
        <v>Mumbai</v>
      </c>
      <c r="G229" t="str">
        <f>PROPER(sales_dataset[[#This Row],[Region cleaned]])</f>
        <v>East</v>
      </c>
      <c r="H229" t="s">
        <v>61</v>
      </c>
      <c r="I229" t="str">
        <f>IF(TRIM(sales_dataset[[#This Row],[SalespersonName]])="",I232,PROPER(TRIM(sales_dataset[[#This Row],[SalespersonName]])))</f>
        <v>Raj</v>
      </c>
      <c r="J229" s="1" t="s">
        <v>566</v>
      </c>
      <c r="K229" s="1" t="str">
        <f>PROPER(sales_dataset[[#This Row],[ProductCategory cleaned]])</f>
        <v>Home</v>
      </c>
      <c r="L229" s="1" t="str">
        <f>PROPER(sales_dataset[[#This Row],[ProductName]])</f>
        <v>Sofa</v>
      </c>
      <c r="M229">
        <f>ABS(sales_dataset!W:W)</f>
        <v>1</v>
      </c>
      <c r="N229">
        <f>ABS(sales_dataset[[#This Row],[Column4]])</f>
        <v>2000</v>
      </c>
      <c r="O229">
        <f t="shared" si="3"/>
        <v>2000</v>
      </c>
    </row>
    <row r="230" spans="1:15" x14ac:dyDescent="0.3">
      <c r="A230" s="1" t="s">
        <v>567</v>
      </c>
      <c r="B230" s="2">
        <v>45385</v>
      </c>
      <c r="C230" s="1" t="str">
        <f>IF(TRIM(sales_dataset[[#This Row],[SalesChannel]])="",sales_dataset!C231,PROPER(TRIM(sales_dataset[[#This Row],[SalesChannel]])))</f>
        <v>Online</v>
      </c>
      <c r="D230" s="1" t="s">
        <v>208</v>
      </c>
      <c r="E230" s="1" t="str">
        <f>IF(TRIM(sales_dataset[[#This Row],[CustomerName]])="",sales_dataset!F236, PROPER(TRIM(sales_dataset[[#This Row],[CustomerName]])))</f>
        <v>Sara</v>
      </c>
      <c r="F230" s="1" t="str">
        <f>IF(TRIM(sales_dataset[[#This Row],[City]])="", sales_dataset!$H$3, PROPER(TRIM(sales_dataset[[#This Row],[City]])))</f>
        <v>Mumbai</v>
      </c>
      <c r="G230" t="str">
        <f>PROPER(sales_dataset[[#This Row],[Region cleaned]])</f>
        <v>North</v>
      </c>
      <c r="H230" t="s">
        <v>125</v>
      </c>
      <c r="I230" t="str">
        <f>IF(TRIM(sales_dataset[[#This Row],[SalespersonName]])="",I233,PROPER(TRIM(sales_dataset[[#This Row],[SalespersonName]])))</f>
        <v>Raj</v>
      </c>
      <c r="J230" s="1" t="s">
        <v>238</v>
      </c>
      <c r="K230" s="1" t="str">
        <f>PROPER(sales_dataset[[#This Row],[ProductCategory cleaned]])</f>
        <v>Home</v>
      </c>
      <c r="L230" s="1" t="str">
        <f>PROPER(sales_dataset[[#This Row],[ProductName]])</f>
        <v>Shirt</v>
      </c>
      <c r="M230">
        <f>ABS(sales_dataset!W:W)</f>
        <v>1</v>
      </c>
      <c r="N230">
        <f>ABS(sales_dataset[[#This Row],[Column4]])</f>
        <v>2500</v>
      </c>
      <c r="O230">
        <f t="shared" si="3"/>
        <v>2500</v>
      </c>
    </row>
    <row r="231" spans="1:15" x14ac:dyDescent="0.3">
      <c r="A231" s="1" t="s">
        <v>568</v>
      </c>
      <c r="B231" s="2">
        <v>45434</v>
      </c>
      <c r="C231" s="1" t="str">
        <f>IF(TRIM(sales_dataset[[#This Row],[SalesChannel]])="",sales_dataset!C232,PROPER(TRIM(sales_dataset[[#This Row],[SalesChannel]])))</f>
        <v>Offline</v>
      </c>
      <c r="D231" s="1" t="s">
        <v>442</v>
      </c>
      <c r="E231" s="1" t="str">
        <f>IF(TRIM(sales_dataset[[#This Row],[CustomerName]])="",sales_dataset!F237, PROPER(TRIM(sales_dataset[[#This Row],[CustomerName]])))</f>
        <v>John</v>
      </c>
      <c r="F231" s="1" t="str">
        <f>IF(TRIM(sales_dataset[[#This Row],[City]])="", sales_dataset!$H$3, PROPER(TRIM(sales_dataset[[#This Row],[City]])))</f>
        <v>Bengaluru</v>
      </c>
      <c r="G231" t="str">
        <f>PROPER(sales_dataset[[#This Row],[Region cleaned]])</f>
        <v>East</v>
      </c>
      <c r="H231" t="s">
        <v>215</v>
      </c>
      <c r="I231" t="str">
        <f>IF(TRIM(sales_dataset[[#This Row],[SalespersonName]])="",I234,PROPER(TRIM(sales_dataset[[#This Row],[SalespersonName]])))</f>
        <v>Anita</v>
      </c>
      <c r="J231" s="1" t="s">
        <v>276</v>
      </c>
      <c r="K231" s="1" t="str">
        <f>PROPER(sales_dataset[[#This Row],[ProductCategory cleaned]])</f>
        <v>Electronics</v>
      </c>
      <c r="L231" s="1" t="str">
        <f>PROPER(sales_dataset[[#This Row],[ProductName]])</f>
        <v>Shirt</v>
      </c>
      <c r="M231">
        <f>ABS(sales_dataset!W:W)</f>
        <v>2</v>
      </c>
      <c r="N231">
        <f>ABS(sales_dataset[[#This Row],[Column4]])</f>
        <v>2500</v>
      </c>
      <c r="O231">
        <f t="shared" si="3"/>
        <v>5000</v>
      </c>
    </row>
    <row r="232" spans="1:15" x14ac:dyDescent="0.3">
      <c r="A232" s="1" t="s">
        <v>569</v>
      </c>
      <c r="B232" s="2">
        <v>45528</v>
      </c>
      <c r="C232" s="1" t="str">
        <f>IF(TRIM(sales_dataset[[#This Row],[SalesChannel]])="",sales_dataset!C233,PROPER(TRIM(sales_dataset[[#This Row],[SalesChannel]])))</f>
        <v>Store</v>
      </c>
      <c r="D232" s="1" t="s">
        <v>240</v>
      </c>
      <c r="E232" s="1" t="str">
        <f>IF(TRIM(sales_dataset[[#This Row],[CustomerName]])="",sales_dataset!F238, PROPER(TRIM(sales_dataset[[#This Row],[CustomerName]])))</f>
        <v>John</v>
      </c>
      <c r="F232" s="1" t="str">
        <f>IF(TRIM(sales_dataset[[#This Row],[City]])="", sales_dataset!$H$3, PROPER(TRIM(sales_dataset[[#This Row],[City]])))</f>
        <v>Chennai</v>
      </c>
      <c r="G232" t="str">
        <f>PROPER(sales_dataset[[#This Row],[Region cleaned]])</f>
        <v>South</v>
      </c>
      <c r="H232" t="s">
        <v>224</v>
      </c>
      <c r="I232" t="str">
        <f>IF(TRIM(sales_dataset[[#This Row],[SalespersonName]])="",I235,PROPER(TRIM(sales_dataset[[#This Row],[SalespersonName]])))</f>
        <v>Megha</v>
      </c>
      <c r="J232" s="1" t="s">
        <v>477</v>
      </c>
      <c r="K232" s="1" t="str">
        <f>PROPER(sales_dataset[[#This Row],[ProductCategory cleaned]])</f>
        <v>Home</v>
      </c>
      <c r="L232" s="1" t="str">
        <f>PROPER(sales_dataset[[#This Row],[ProductName]])</f>
        <v>Tv</v>
      </c>
      <c r="M232">
        <f>ABS(sales_dataset!W:W)</f>
        <v>1</v>
      </c>
      <c r="N232">
        <f>ABS(sales_dataset[[#This Row],[Column4]])</f>
        <v>2500</v>
      </c>
      <c r="O232">
        <f t="shared" si="3"/>
        <v>2500</v>
      </c>
    </row>
    <row r="233" spans="1:15" x14ac:dyDescent="0.3">
      <c r="A233" s="1" t="s">
        <v>570</v>
      </c>
      <c r="B233" s="2">
        <v>45419</v>
      </c>
      <c r="C233" s="1" t="str">
        <f>IF(TRIM(sales_dataset[[#This Row],[SalesChannel]])="",sales_dataset!C234,PROPER(TRIM(sales_dataset[[#This Row],[SalesChannel]])))</f>
        <v>Store</v>
      </c>
      <c r="D233" s="1" t="s">
        <v>571</v>
      </c>
      <c r="E233" s="1" t="str">
        <f>IF(TRIM(sales_dataset[[#This Row],[CustomerName]])="",sales_dataset!F239, PROPER(TRIM(sales_dataset[[#This Row],[CustomerName]])))</f>
        <v>David</v>
      </c>
      <c r="F233" s="1" t="str">
        <f>IF(TRIM(sales_dataset[[#This Row],[City]])="", sales_dataset!$H$3, PROPER(TRIM(sales_dataset[[#This Row],[City]])))</f>
        <v>Mumbai</v>
      </c>
      <c r="G233" t="str">
        <f>PROPER(sales_dataset[[#This Row],[Region cleaned]])</f>
        <v>East</v>
      </c>
      <c r="H233" t="s">
        <v>103</v>
      </c>
      <c r="I233" t="str">
        <f>IF(TRIM(sales_dataset[[#This Row],[SalespersonName]])="",I236,PROPER(TRIM(sales_dataset[[#This Row],[SalespersonName]])))</f>
        <v>Megha</v>
      </c>
      <c r="J233" s="1" t="s">
        <v>130</v>
      </c>
      <c r="K233" s="1" t="str">
        <f>PROPER(sales_dataset[[#This Row],[ProductCategory cleaned]])</f>
        <v>Home</v>
      </c>
      <c r="L233" s="1" t="str">
        <f>PROPER(sales_dataset[[#This Row],[ProductName]])</f>
        <v>Shirt</v>
      </c>
      <c r="M233">
        <f>ABS(sales_dataset!W:W)</f>
        <v>1</v>
      </c>
      <c r="N233">
        <f>ABS(sales_dataset[[#This Row],[Column4]])</f>
        <v>2500</v>
      </c>
      <c r="O233">
        <f t="shared" si="3"/>
        <v>2500</v>
      </c>
    </row>
    <row r="234" spans="1:15" x14ac:dyDescent="0.3">
      <c r="A234" s="1" t="s">
        <v>572</v>
      </c>
      <c r="B234" s="2">
        <v>45330</v>
      </c>
      <c r="C234" s="1" t="str">
        <f>IF(TRIM(sales_dataset[[#This Row],[SalesChannel]])="",sales_dataset!C235,PROPER(TRIM(sales_dataset[[#This Row],[SalesChannel]])))</f>
        <v>Online</v>
      </c>
      <c r="D234" s="1" t="s">
        <v>331</v>
      </c>
      <c r="E234" s="1" t="str">
        <f>IF(TRIM(sales_dataset[[#This Row],[CustomerName]])="",sales_dataset!F240, PROPER(TRIM(sales_dataset[[#This Row],[CustomerName]])))</f>
        <v>Sara</v>
      </c>
      <c r="F234" s="1" t="str">
        <f>IF(TRIM(sales_dataset[[#This Row],[City]])="", sales_dataset!$H$3, PROPER(TRIM(sales_dataset[[#This Row],[City]])))</f>
        <v>Chennai</v>
      </c>
      <c r="G234" t="str">
        <f>PROPER(sales_dataset[[#This Row],[Region cleaned]])</f>
        <v>East</v>
      </c>
      <c r="H234" t="s">
        <v>177</v>
      </c>
      <c r="I234" t="str">
        <f>IF(TRIM(sales_dataset[[#This Row],[SalespersonName]])="",I237,PROPER(TRIM(sales_dataset[[#This Row],[SalespersonName]])))</f>
        <v>Megha</v>
      </c>
      <c r="J234" s="1" t="s">
        <v>573</v>
      </c>
      <c r="K234" s="1" t="str">
        <f>PROPER(sales_dataset[[#This Row],[ProductCategory cleaned]])</f>
        <v>Electronics</v>
      </c>
      <c r="L234" s="1" t="str">
        <f>PROPER(sales_dataset[[#This Row],[ProductName]])</f>
        <v/>
      </c>
      <c r="M234">
        <f>ABS(sales_dataset!W:W)</f>
        <v>1</v>
      </c>
      <c r="N234">
        <f>ABS(sales_dataset[[#This Row],[Column4]])</f>
        <v>500</v>
      </c>
      <c r="O234">
        <f t="shared" si="3"/>
        <v>500</v>
      </c>
    </row>
    <row r="235" spans="1:15" x14ac:dyDescent="0.3">
      <c r="A235" s="1" t="s">
        <v>574</v>
      </c>
      <c r="B235" s="2">
        <v>45518</v>
      </c>
      <c r="C235" s="1" t="str">
        <f>IF(TRIM(sales_dataset[[#This Row],[SalesChannel]])="",sales_dataset!C236,PROPER(TRIM(sales_dataset[[#This Row],[SalesChannel]])))</f>
        <v>Online</v>
      </c>
      <c r="D235" s="1" t="s">
        <v>575</v>
      </c>
      <c r="E235" s="1" t="str">
        <f>IF(TRIM(sales_dataset[[#This Row],[CustomerName]])="",sales_dataset!F241, PROPER(TRIM(sales_dataset[[#This Row],[CustomerName]])))</f>
        <v>David</v>
      </c>
      <c r="F235" s="1" t="str">
        <f>IF(TRIM(sales_dataset[[#This Row],[City]])="", sales_dataset!$H$3, PROPER(TRIM(sales_dataset[[#This Row],[City]])))</f>
        <v>Chennai</v>
      </c>
      <c r="G235" t="str">
        <f>PROPER(sales_dataset[[#This Row],[Region cleaned]])</f>
        <v>North</v>
      </c>
      <c r="H235" t="s">
        <v>195</v>
      </c>
      <c r="I235" t="str">
        <f>IF(TRIM(sales_dataset[[#This Row],[SalespersonName]])="",I238,PROPER(TRIM(sales_dataset[[#This Row],[SalespersonName]])))</f>
        <v>Raj</v>
      </c>
      <c r="J235" s="1" t="s">
        <v>446</v>
      </c>
      <c r="K235" s="1" t="str">
        <f>PROPER(sales_dataset[[#This Row],[ProductCategory cleaned]])</f>
        <v>Home</v>
      </c>
      <c r="L235" s="1" t="str">
        <f>PROPER(sales_dataset[[#This Row],[ProductName]])</f>
        <v/>
      </c>
      <c r="M235">
        <f>ABS(sales_dataset!W:W)</f>
        <v>3</v>
      </c>
      <c r="N235">
        <f>ABS(sales_dataset[[#This Row],[Column4]])</f>
        <v>2000</v>
      </c>
      <c r="O235">
        <f t="shared" si="3"/>
        <v>6000</v>
      </c>
    </row>
    <row r="236" spans="1:15" x14ac:dyDescent="0.3">
      <c r="A236" s="1" t="s">
        <v>576</v>
      </c>
      <c r="B236" s="2">
        <v>45573</v>
      </c>
      <c r="C236" s="1" t="str">
        <f>IF(TRIM(sales_dataset[[#This Row],[SalesChannel]])="",sales_dataset!C237,PROPER(TRIM(sales_dataset[[#This Row],[SalesChannel]])))</f>
        <v>Online</v>
      </c>
      <c r="D236" s="1" t="s">
        <v>577</v>
      </c>
      <c r="E236" s="1" t="str">
        <f>IF(TRIM(sales_dataset[[#This Row],[CustomerName]])="",sales_dataset!F242, PROPER(TRIM(sales_dataset[[#This Row],[CustomerName]])))</f>
        <v>Priya</v>
      </c>
      <c r="F236" s="1" t="str">
        <f>IF(TRIM(sales_dataset[[#This Row],[City]])="", sales_dataset!$H$3, PROPER(TRIM(sales_dataset[[#This Row],[City]])))</f>
        <v>Hyderabad</v>
      </c>
      <c r="G236" t="str">
        <f>PROPER(sales_dataset[[#This Row],[Region cleaned]])</f>
        <v>East</v>
      </c>
      <c r="H236" t="s">
        <v>427</v>
      </c>
      <c r="I236" t="str">
        <f>IF(TRIM(sales_dataset[[#This Row],[SalespersonName]])="",I239,PROPER(TRIM(sales_dataset[[#This Row],[SalespersonName]])))</f>
        <v>Megha</v>
      </c>
      <c r="J236" s="1" t="s">
        <v>296</v>
      </c>
      <c r="K236" s="1" t="str">
        <f>PROPER(sales_dataset[[#This Row],[ProductCategory cleaned]])</f>
        <v>Clothing</v>
      </c>
      <c r="L236" s="1" t="str">
        <f>PROPER(sales_dataset[[#This Row],[ProductName]])</f>
        <v>Shirt</v>
      </c>
      <c r="M236">
        <f>ABS(sales_dataset!W:W)</f>
        <v>3</v>
      </c>
      <c r="N236">
        <f>ABS(sales_dataset[[#This Row],[Column4]])</f>
        <v>100</v>
      </c>
      <c r="O236">
        <f t="shared" si="3"/>
        <v>300</v>
      </c>
    </row>
    <row r="237" spans="1:15" x14ac:dyDescent="0.3">
      <c r="A237" s="1" t="s">
        <v>578</v>
      </c>
      <c r="B237" s="2">
        <v>45342</v>
      </c>
      <c r="C237" s="1" t="str">
        <f>IF(TRIM(sales_dataset[[#This Row],[SalesChannel]])="",sales_dataset!C238,PROPER(TRIM(sales_dataset[[#This Row],[SalesChannel]])))</f>
        <v>Offline</v>
      </c>
      <c r="D237" s="1" t="s">
        <v>290</v>
      </c>
      <c r="E237" s="1" t="str">
        <f>IF(TRIM(sales_dataset[[#This Row],[CustomerName]])="",sales_dataset!F243, PROPER(TRIM(sales_dataset[[#This Row],[CustomerName]])))</f>
        <v/>
      </c>
      <c r="F237" s="1" t="str">
        <f>IF(TRIM(sales_dataset[[#This Row],[City]])="", sales_dataset!$H$3, PROPER(TRIM(sales_dataset[[#This Row],[City]])))</f>
        <v>Chennai</v>
      </c>
      <c r="G237" t="str">
        <f>PROPER(sales_dataset[[#This Row],[Region cleaned]])</f>
        <v>East</v>
      </c>
      <c r="H237" t="s">
        <v>85</v>
      </c>
      <c r="I237" t="str">
        <f>IF(TRIM(sales_dataset[[#This Row],[SalespersonName]])="",I240,PROPER(TRIM(sales_dataset[[#This Row],[SalespersonName]])))</f>
        <v>Megha</v>
      </c>
      <c r="J237" s="1" t="s">
        <v>191</v>
      </c>
      <c r="K237" s="1" t="str">
        <f>PROPER(sales_dataset[[#This Row],[ProductCategory cleaned]])</f>
        <v>Electronics</v>
      </c>
      <c r="L237" s="1" t="str">
        <f>PROPER(sales_dataset[[#This Row],[ProductName]])</f>
        <v>Shirt</v>
      </c>
      <c r="M237">
        <f>ABS(sales_dataset!W:W)</f>
        <v>1</v>
      </c>
      <c r="N237">
        <f>ABS(sales_dataset[[#This Row],[Column4]])</f>
        <v>1500</v>
      </c>
      <c r="O237">
        <f t="shared" si="3"/>
        <v>1500</v>
      </c>
    </row>
    <row r="238" spans="1:15" x14ac:dyDescent="0.3">
      <c r="A238" s="1" t="s">
        <v>579</v>
      </c>
      <c r="B238" s="2">
        <v>45317</v>
      </c>
      <c r="C238" s="1" t="str">
        <f>IF(TRIM(sales_dataset[[#This Row],[SalesChannel]])="",sales_dataset!C239,PROPER(TRIM(sales_dataset[[#This Row],[SalesChannel]])))</f>
        <v>Store</v>
      </c>
      <c r="D238" s="1" t="s">
        <v>349</v>
      </c>
      <c r="E238" s="1" t="str">
        <f>IF(TRIM(sales_dataset[[#This Row],[CustomerName]])="",sales_dataset!F244, PROPER(TRIM(sales_dataset[[#This Row],[CustomerName]])))</f>
        <v>John</v>
      </c>
      <c r="F238" s="1" t="str">
        <f>IF(TRIM(sales_dataset[[#This Row],[City]])="", sales_dataset!$H$3, PROPER(TRIM(sales_dataset[[#This Row],[City]])))</f>
        <v>Chennai</v>
      </c>
      <c r="G238" t="str">
        <f>PROPER(sales_dataset[[#This Row],[Region cleaned]])</f>
        <v>East</v>
      </c>
      <c r="H238" t="s">
        <v>99</v>
      </c>
      <c r="I238" t="str">
        <f>IF(TRIM(sales_dataset[[#This Row],[SalespersonName]])="",I241,PROPER(TRIM(sales_dataset[[#This Row],[SalespersonName]])))</f>
        <v>Raj</v>
      </c>
      <c r="J238" s="1" t="s">
        <v>580</v>
      </c>
      <c r="K238" s="1" t="str">
        <f>PROPER(sales_dataset[[#This Row],[ProductCategory cleaned]])</f>
        <v>Clothing</v>
      </c>
      <c r="L238" s="1" t="str">
        <f>PROPER(sales_dataset[[#This Row],[ProductName]])</f>
        <v>Shirt</v>
      </c>
      <c r="M238">
        <f>ABS(sales_dataset!W:W)</f>
        <v>1</v>
      </c>
      <c r="N238">
        <f>ABS(sales_dataset[[#This Row],[Column4]])</f>
        <v>2000</v>
      </c>
      <c r="O238">
        <f t="shared" si="3"/>
        <v>2000</v>
      </c>
    </row>
    <row r="239" spans="1:15" x14ac:dyDescent="0.3">
      <c r="A239" s="1" t="s">
        <v>581</v>
      </c>
      <c r="B239" s="2">
        <v>45568</v>
      </c>
      <c r="C239" s="1" t="str">
        <f>IF(TRIM(sales_dataset[[#This Row],[SalesChannel]])="",sales_dataset!C240,PROPER(TRIM(sales_dataset[[#This Row],[SalesChannel]])))</f>
        <v>Store</v>
      </c>
      <c r="D239" s="1" t="s">
        <v>565</v>
      </c>
      <c r="E239" s="1" t="str">
        <f>IF(TRIM(sales_dataset[[#This Row],[CustomerName]])="",sales_dataset!F245, PROPER(TRIM(sales_dataset[[#This Row],[CustomerName]])))</f>
        <v>John</v>
      </c>
      <c r="F239" s="1" t="str">
        <f>IF(TRIM(sales_dataset[[#This Row],[City]])="", sales_dataset!$H$3, PROPER(TRIM(sales_dataset[[#This Row],[City]])))</f>
        <v>Bengaluru</v>
      </c>
      <c r="G239" t="str">
        <f>PROPER(sales_dataset[[#This Row],[Region cleaned]])</f>
        <v>North</v>
      </c>
      <c r="H239" t="s">
        <v>258</v>
      </c>
      <c r="I239" t="str">
        <f>IF(TRIM(sales_dataset[[#This Row],[SalespersonName]])="",I242,PROPER(TRIM(sales_dataset[[#This Row],[SalespersonName]])))</f>
        <v>Megha</v>
      </c>
      <c r="J239" s="1" t="s">
        <v>126</v>
      </c>
      <c r="K239" s="1" t="str">
        <f>PROPER(sales_dataset[[#This Row],[ProductCategory cleaned]])</f>
        <v>Clothing</v>
      </c>
      <c r="L239" s="1" t="str">
        <f>PROPER(sales_dataset[[#This Row],[ProductName]])</f>
        <v/>
      </c>
      <c r="M239">
        <f>ABS(sales_dataset!W:W)</f>
        <v>3</v>
      </c>
      <c r="N239">
        <f>ABS(sales_dataset[[#This Row],[Column4]])</f>
        <v>500</v>
      </c>
      <c r="O239">
        <f t="shared" si="3"/>
        <v>1500</v>
      </c>
    </row>
    <row r="240" spans="1:15" x14ac:dyDescent="0.3">
      <c r="A240" s="1" t="s">
        <v>582</v>
      </c>
      <c r="B240" s="2">
        <v>45299</v>
      </c>
      <c r="C240" s="1" t="str">
        <f>IF(TRIM(sales_dataset[[#This Row],[SalesChannel]])="",sales_dataset!C241,PROPER(TRIM(sales_dataset[[#This Row],[SalesChannel]])))</f>
        <v>Online</v>
      </c>
      <c r="D240" s="1" t="s">
        <v>385</v>
      </c>
      <c r="E240" s="1" t="str">
        <f>IF(TRIM(sales_dataset[[#This Row],[CustomerName]])="",sales_dataset!F246, PROPER(TRIM(sales_dataset[[#This Row],[CustomerName]])))</f>
        <v>John</v>
      </c>
      <c r="F240" s="1" t="str">
        <f>IF(TRIM(sales_dataset[[#This Row],[City]])="", sales_dataset!$H$3, PROPER(TRIM(sales_dataset[[#This Row],[City]])))</f>
        <v>Delhi</v>
      </c>
      <c r="G240" t="str">
        <f>PROPER(sales_dataset[[#This Row],[Region cleaned]])</f>
        <v>East</v>
      </c>
      <c r="H240" t="s">
        <v>99</v>
      </c>
      <c r="I240" t="str">
        <f>IF(TRIM(sales_dataset[[#This Row],[SalespersonName]])="",I243,PROPER(TRIM(sales_dataset[[#This Row],[SalespersonName]])))</f>
        <v>Sam</v>
      </c>
      <c r="J240" s="1" t="s">
        <v>120</v>
      </c>
      <c r="K240" s="1" t="str">
        <f>PROPER(sales_dataset[[#This Row],[ProductCategory cleaned]])</f>
        <v>Electronics</v>
      </c>
      <c r="L240" s="1" t="str">
        <f>PROPER(sales_dataset[[#This Row],[ProductName]])</f>
        <v>Sofa</v>
      </c>
      <c r="M240">
        <f>ABS(sales_dataset!W:W)</f>
        <v>4</v>
      </c>
      <c r="N240">
        <f>ABS(sales_dataset[[#This Row],[Column4]])</f>
        <v>500</v>
      </c>
      <c r="O240">
        <f t="shared" si="3"/>
        <v>2000</v>
      </c>
    </row>
    <row r="241" spans="1:15" x14ac:dyDescent="0.3">
      <c r="A241" s="1" t="s">
        <v>583</v>
      </c>
      <c r="B241" s="2">
        <v>45339</v>
      </c>
      <c r="C241" s="1" t="str">
        <f>IF(TRIM(sales_dataset[[#This Row],[SalesChannel]])="",sales_dataset!C242,PROPER(TRIM(sales_dataset[[#This Row],[SalesChannel]])))</f>
        <v>Online</v>
      </c>
      <c r="D241" s="1" t="s">
        <v>584</v>
      </c>
      <c r="E241" s="1" t="str">
        <f>IF(TRIM(sales_dataset[[#This Row],[CustomerName]])="",sales_dataset!F247, PROPER(TRIM(sales_dataset[[#This Row],[CustomerName]])))</f>
        <v>Amit</v>
      </c>
      <c r="F241" s="1" t="str">
        <f>IF(TRIM(sales_dataset[[#This Row],[City]])="", sales_dataset!$H$3, PROPER(TRIM(sales_dataset[[#This Row],[City]])))</f>
        <v>Delhi</v>
      </c>
      <c r="G241" t="str">
        <f>PROPER(sales_dataset[[#This Row],[Region cleaned]])</f>
        <v>West</v>
      </c>
      <c r="H241" t="s">
        <v>343</v>
      </c>
      <c r="I241" t="str">
        <f>IF(TRIM(sales_dataset[[#This Row],[SalespersonName]])="",I244,PROPER(TRIM(sales_dataset[[#This Row],[SalespersonName]])))</f>
        <v>Anita</v>
      </c>
      <c r="J241" s="1" t="s">
        <v>62</v>
      </c>
      <c r="K241" s="1" t="str">
        <f>PROPER(sales_dataset[[#This Row],[ProductCategory cleaned]])</f>
        <v>Electronics</v>
      </c>
      <c r="L241" s="1" t="str">
        <f>PROPER(sales_dataset[[#This Row],[ProductName]])</f>
        <v/>
      </c>
      <c r="M241">
        <f>ABS(sales_dataset!W:W)</f>
        <v>1</v>
      </c>
      <c r="N241">
        <f>ABS(sales_dataset[[#This Row],[Column4]])</f>
        <v>500</v>
      </c>
      <c r="O241">
        <f t="shared" si="3"/>
        <v>500</v>
      </c>
    </row>
    <row r="242" spans="1:15" x14ac:dyDescent="0.3">
      <c r="A242" s="1" t="s">
        <v>585</v>
      </c>
      <c r="B242" s="2">
        <v>45413</v>
      </c>
      <c r="C242" s="1" t="str">
        <f>IF(TRIM(sales_dataset[[#This Row],[SalesChannel]])="",sales_dataset!C243,PROPER(TRIM(sales_dataset[[#This Row],[SalesChannel]])))</f>
        <v>Online</v>
      </c>
      <c r="D242" s="1" t="s">
        <v>586</v>
      </c>
      <c r="E242" s="1" t="str">
        <f>IF(TRIM(sales_dataset[[#This Row],[CustomerName]])="",sales_dataset!F248, PROPER(TRIM(sales_dataset[[#This Row],[CustomerName]])))</f>
        <v>David</v>
      </c>
      <c r="F242" s="1" t="str">
        <f>IF(TRIM(sales_dataset[[#This Row],[City]])="", sales_dataset!$H$3, PROPER(TRIM(sales_dataset[[#This Row],[City]])))</f>
        <v>Hyderabad</v>
      </c>
      <c r="G242" t="str">
        <f>PROPER(sales_dataset[[#This Row],[Region cleaned]])</f>
        <v>West</v>
      </c>
      <c r="H242" t="s">
        <v>173</v>
      </c>
      <c r="I242" t="str">
        <f>IF(TRIM(sales_dataset[[#This Row],[SalespersonName]])="",I245,PROPER(TRIM(sales_dataset[[#This Row],[SalespersonName]])))</f>
        <v>Kevin</v>
      </c>
      <c r="J242" s="1" t="s">
        <v>477</v>
      </c>
      <c r="K242" s="1" t="str">
        <f>PROPER(sales_dataset[[#This Row],[ProductCategory cleaned]])</f>
        <v>Clothing</v>
      </c>
      <c r="L242" s="1" t="str">
        <f>PROPER(sales_dataset[[#This Row],[ProductName]])</f>
        <v>Shirt</v>
      </c>
      <c r="M242">
        <f>ABS(sales_dataset!W:W)</f>
        <v>1</v>
      </c>
      <c r="N242">
        <f>ABS(sales_dataset[[#This Row],[Column4]])</f>
        <v>1500</v>
      </c>
      <c r="O242">
        <f t="shared" si="3"/>
        <v>1500</v>
      </c>
    </row>
    <row r="243" spans="1:15" x14ac:dyDescent="0.3">
      <c r="A243" s="1" t="s">
        <v>587</v>
      </c>
      <c r="B243" s="2">
        <v>45377</v>
      </c>
      <c r="C243" s="1" t="str">
        <f>IF(TRIM(sales_dataset[[#This Row],[SalesChannel]])="",sales_dataset!C244,PROPER(TRIM(sales_dataset[[#This Row],[SalesChannel]])))</f>
        <v>Offline</v>
      </c>
      <c r="D243" s="1" t="s">
        <v>517</v>
      </c>
      <c r="E243" s="1" t="str">
        <f>IF(TRIM(sales_dataset[[#This Row],[CustomerName]])="",sales_dataset!F249, PROPER(TRIM(sales_dataset[[#This Row],[CustomerName]])))</f>
        <v>David</v>
      </c>
      <c r="F243" s="1" t="str">
        <f>IF(TRIM(sales_dataset[[#This Row],[City]])="", sales_dataset!$H$3, PROPER(TRIM(sales_dataset[[#This Row],[City]])))</f>
        <v>Mumbai</v>
      </c>
      <c r="G243" t="str">
        <f>PROPER(sales_dataset[[#This Row],[Region cleaned]])</f>
        <v>West</v>
      </c>
      <c r="H243" t="s">
        <v>195</v>
      </c>
      <c r="I243" t="str">
        <f>IF(TRIM(sales_dataset[[#This Row],[SalespersonName]])="",I246,PROPER(TRIM(sales_dataset[[#This Row],[SalespersonName]])))</f>
        <v>Raj</v>
      </c>
      <c r="J243" s="1" t="s">
        <v>196</v>
      </c>
      <c r="K243" s="1" t="str">
        <f>PROPER(sales_dataset[[#This Row],[ProductCategory cleaned]])</f>
        <v>Electronics</v>
      </c>
      <c r="L243" s="1" t="str">
        <f>PROPER(sales_dataset[[#This Row],[ProductName]])</f>
        <v>Shirt</v>
      </c>
      <c r="M243">
        <f>ABS(sales_dataset!W:W)</f>
        <v>1</v>
      </c>
      <c r="N243">
        <f>ABS(sales_dataset[[#This Row],[Column4]])</f>
        <v>500</v>
      </c>
      <c r="O243">
        <f t="shared" si="3"/>
        <v>500</v>
      </c>
    </row>
    <row r="244" spans="1:15" x14ac:dyDescent="0.3">
      <c r="A244" s="1" t="s">
        <v>588</v>
      </c>
      <c r="B244" s="2">
        <v>45500</v>
      </c>
      <c r="C244" s="1" t="str">
        <f>IF(TRIM(sales_dataset[[#This Row],[SalesChannel]])="",sales_dataset!C245,PROPER(TRIM(sales_dataset[[#This Row],[SalesChannel]])))</f>
        <v>Store</v>
      </c>
      <c r="D244" s="1" t="s">
        <v>589</v>
      </c>
      <c r="E244" s="1" t="str">
        <f>IF(TRIM(sales_dataset[[#This Row],[CustomerName]])="",sales_dataset!F250, PROPER(TRIM(sales_dataset[[#This Row],[CustomerName]])))</f>
        <v>Sara</v>
      </c>
      <c r="F244" s="1" t="str">
        <f>IF(TRIM(sales_dataset[[#This Row],[City]])="", sales_dataset!$H$3, PROPER(TRIM(sales_dataset[[#This Row],[City]])))</f>
        <v>Bengaluru</v>
      </c>
      <c r="G244" t="str">
        <f>PROPER(sales_dataset[[#This Row],[Region cleaned]])</f>
        <v>West</v>
      </c>
      <c r="H244" t="s">
        <v>74</v>
      </c>
      <c r="I244" t="str">
        <f>IF(TRIM(sales_dataset[[#This Row],[SalespersonName]])="",I247,PROPER(TRIM(sales_dataset[[#This Row],[SalespersonName]])))</f>
        <v>Sam</v>
      </c>
      <c r="J244" s="1" t="s">
        <v>94</v>
      </c>
      <c r="K244" s="1" t="str">
        <f>PROPER(sales_dataset[[#This Row],[ProductCategory cleaned]])</f>
        <v>Clothing</v>
      </c>
      <c r="L244" s="1" t="str">
        <f>PROPER(sales_dataset[[#This Row],[ProductName]])</f>
        <v>Tv</v>
      </c>
      <c r="M244">
        <f>ABS(sales_dataset!W:W)</f>
        <v>1</v>
      </c>
      <c r="N244">
        <f>ABS(sales_dataset[[#This Row],[Column4]])</f>
        <v>100</v>
      </c>
      <c r="O244">
        <f t="shared" si="3"/>
        <v>100</v>
      </c>
    </row>
    <row r="245" spans="1:15" x14ac:dyDescent="0.3">
      <c r="A245" s="1" t="s">
        <v>590</v>
      </c>
      <c r="B245" s="2">
        <v>45540</v>
      </c>
      <c r="C245" s="1" t="str">
        <f>IF(TRIM(sales_dataset[[#This Row],[SalesChannel]])="",sales_dataset!C246,PROPER(TRIM(sales_dataset[[#This Row],[SalesChannel]])))</f>
        <v>Store</v>
      </c>
      <c r="D245" s="1" t="s">
        <v>420</v>
      </c>
      <c r="E245" s="1" t="str">
        <f>IF(TRIM(sales_dataset[[#This Row],[CustomerName]])="",sales_dataset!F251, PROPER(TRIM(sales_dataset[[#This Row],[CustomerName]])))</f>
        <v>David</v>
      </c>
      <c r="F245" s="1" t="str">
        <f>IF(TRIM(sales_dataset[[#This Row],[City]])="", sales_dataset!$H$3, PROPER(TRIM(sales_dataset[[#This Row],[City]])))</f>
        <v>Chennai</v>
      </c>
      <c r="G245" t="str">
        <f>PROPER(sales_dataset[[#This Row],[Region cleaned]])</f>
        <v>West</v>
      </c>
      <c r="H245" t="s">
        <v>212</v>
      </c>
      <c r="I245" t="str">
        <f>IF(TRIM(sales_dataset[[#This Row],[SalespersonName]])="",I248,PROPER(TRIM(sales_dataset[[#This Row],[SalespersonName]])))</f>
        <v>Anita</v>
      </c>
      <c r="J245" s="1" t="s">
        <v>104</v>
      </c>
      <c r="K245" s="1" t="str">
        <f>PROPER(sales_dataset[[#This Row],[ProductCategory cleaned]])</f>
        <v>Electronics</v>
      </c>
      <c r="L245" s="1" t="str">
        <f>PROPER(sales_dataset[[#This Row],[ProductName]])</f>
        <v/>
      </c>
      <c r="M245">
        <f>ABS(sales_dataset!W:W)</f>
        <v>1</v>
      </c>
      <c r="N245">
        <f>ABS(sales_dataset[[#This Row],[Column4]])</f>
        <v>500</v>
      </c>
      <c r="O245">
        <f t="shared" si="3"/>
        <v>500</v>
      </c>
    </row>
    <row r="246" spans="1:15" x14ac:dyDescent="0.3">
      <c r="A246" s="1" t="s">
        <v>591</v>
      </c>
      <c r="B246" s="2">
        <v>45538</v>
      </c>
      <c r="C246" s="1" t="str">
        <f>IF(TRIM(sales_dataset[[#This Row],[SalesChannel]])="",sales_dataset!C247,PROPER(TRIM(sales_dataset[[#This Row],[SalesChannel]])))</f>
        <v>Online</v>
      </c>
      <c r="D246" s="1" t="s">
        <v>186</v>
      </c>
      <c r="E246" s="1" t="str">
        <f>IF(TRIM(sales_dataset[[#This Row],[CustomerName]])="",sales_dataset!F252, PROPER(TRIM(sales_dataset[[#This Row],[CustomerName]])))</f>
        <v>Priya</v>
      </c>
      <c r="F246" s="1" t="str">
        <f>IF(TRIM(sales_dataset[[#This Row],[City]])="", sales_dataset!$H$3, PROPER(TRIM(sales_dataset[[#This Row],[City]])))</f>
        <v>Mumbai</v>
      </c>
      <c r="G246" t="str">
        <f>PROPER(sales_dataset[[#This Row],[Region cleaned]])</f>
        <v>East</v>
      </c>
      <c r="H246" t="s">
        <v>241</v>
      </c>
      <c r="I246" t="str">
        <f>IF(TRIM(sales_dataset[[#This Row],[SalespersonName]])="",I249,PROPER(TRIM(sales_dataset[[#This Row],[SalespersonName]])))</f>
        <v>Raj</v>
      </c>
      <c r="J246" s="1" t="s">
        <v>477</v>
      </c>
      <c r="K246" s="1" t="str">
        <f>PROPER(sales_dataset[[#This Row],[ProductCategory cleaned]])</f>
        <v>Electronics</v>
      </c>
      <c r="L246" s="1" t="str">
        <f>PROPER(sales_dataset[[#This Row],[ProductName]])</f>
        <v>Laptop</v>
      </c>
      <c r="M246">
        <f>ABS(sales_dataset!W:W)</f>
        <v>1</v>
      </c>
      <c r="N246">
        <f>ABS(sales_dataset[[#This Row],[Column4]])</f>
        <v>100</v>
      </c>
      <c r="O246">
        <f t="shared" si="3"/>
        <v>100</v>
      </c>
    </row>
    <row r="247" spans="1:15" x14ac:dyDescent="0.3">
      <c r="A247" s="1" t="s">
        <v>592</v>
      </c>
      <c r="B247" s="2">
        <v>45401</v>
      </c>
      <c r="C247" s="1" t="str">
        <f>IF(TRIM(sales_dataset[[#This Row],[SalesChannel]])="",sales_dataset!C248,PROPER(TRIM(sales_dataset[[#This Row],[SalesChannel]])))</f>
        <v>Online</v>
      </c>
      <c r="D247" s="1" t="s">
        <v>517</v>
      </c>
      <c r="E247" s="1" t="str">
        <f>IF(TRIM(sales_dataset[[#This Row],[CustomerName]])="",sales_dataset!F253, PROPER(TRIM(sales_dataset[[#This Row],[CustomerName]])))</f>
        <v>John</v>
      </c>
      <c r="F247" s="1" t="str">
        <f>IF(TRIM(sales_dataset[[#This Row],[City]])="", sales_dataset!$H$3, PROPER(TRIM(sales_dataset[[#This Row],[City]])))</f>
        <v>Bengaluru</v>
      </c>
      <c r="G247" t="str">
        <f>PROPER(sales_dataset[[#This Row],[Region cleaned]])</f>
        <v>South</v>
      </c>
      <c r="H247" t="s">
        <v>376</v>
      </c>
      <c r="I247" t="str">
        <f>IF(TRIM(sales_dataset[[#This Row],[SalespersonName]])="",I250,PROPER(TRIM(sales_dataset[[#This Row],[SalespersonName]])))</f>
        <v>Sam</v>
      </c>
      <c r="J247" s="1" t="s">
        <v>242</v>
      </c>
      <c r="K247" s="1" t="str">
        <f>PROPER(sales_dataset[[#This Row],[ProductCategory cleaned]])</f>
        <v>Home</v>
      </c>
      <c r="L247" s="1" t="str">
        <f>PROPER(sales_dataset[[#This Row],[ProductName]])</f>
        <v>Laptop</v>
      </c>
      <c r="M247">
        <f>ABS(sales_dataset!W:W)</f>
        <v>1</v>
      </c>
      <c r="N247">
        <f>ABS(sales_dataset[[#This Row],[Column4]])</f>
        <v>500</v>
      </c>
      <c r="O247">
        <f t="shared" si="3"/>
        <v>500</v>
      </c>
    </row>
    <row r="248" spans="1:15" x14ac:dyDescent="0.3">
      <c r="A248" s="1" t="s">
        <v>593</v>
      </c>
      <c r="B248" s="2">
        <v>45497</v>
      </c>
      <c r="C248" s="1" t="str">
        <f>IF(TRIM(sales_dataset[[#This Row],[SalesChannel]])="",sales_dataset!C249,PROPER(TRIM(sales_dataset[[#This Row],[SalesChannel]])))</f>
        <v>Online</v>
      </c>
      <c r="D248" s="1" t="s">
        <v>44</v>
      </c>
      <c r="E248" s="1" t="str">
        <f>IF(TRIM(sales_dataset[[#This Row],[CustomerName]])="",sales_dataset!F254, PROPER(TRIM(sales_dataset[[#This Row],[CustomerName]])))</f>
        <v>Sara</v>
      </c>
      <c r="F248" s="1" t="str">
        <f>IF(TRIM(sales_dataset[[#This Row],[City]])="", sales_dataset!$H$3, PROPER(TRIM(sales_dataset[[#This Row],[City]])))</f>
        <v>Mumbai</v>
      </c>
      <c r="G248" t="str">
        <f>PROPER(sales_dataset[[#This Row],[Region cleaned]])</f>
        <v>West</v>
      </c>
      <c r="H248" t="s">
        <v>218</v>
      </c>
      <c r="I248" t="str">
        <f>IF(TRIM(sales_dataset[[#This Row],[SalespersonName]])="",I251,PROPER(TRIM(sales_dataset[[#This Row],[SalespersonName]])))</f>
        <v>Anita</v>
      </c>
      <c r="J248" s="1" t="s">
        <v>219</v>
      </c>
      <c r="K248" s="1" t="str">
        <f>PROPER(sales_dataset[[#This Row],[ProductCategory cleaned]])</f>
        <v>Electronics</v>
      </c>
      <c r="L248" s="1" t="str">
        <f>PROPER(sales_dataset[[#This Row],[ProductName]])</f>
        <v>Shirt</v>
      </c>
      <c r="M248">
        <f>ABS(sales_dataset!W:W)</f>
        <v>1</v>
      </c>
      <c r="N248">
        <f>ABS(sales_dataset[[#This Row],[Column4]])</f>
        <v>1500</v>
      </c>
      <c r="O248">
        <f t="shared" si="3"/>
        <v>1500</v>
      </c>
    </row>
    <row r="249" spans="1:15" x14ac:dyDescent="0.3">
      <c r="A249" s="1" t="s">
        <v>594</v>
      </c>
      <c r="B249" s="2">
        <v>45322</v>
      </c>
      <c r="C249" s="1" t="str">
        <f>IF(TRIM(sales_dataset[[#This Row],[SalesChannel]])="",sales_dataset!C250,PROPER(TRIM(sales_dataset[[#This Row],[SalesChannel]])))</f>
        <v>Offline</v>
      </c>
      <c r="D249" s="1" t="s">
        <v>97</v>
      </c>
      <c r="E249" s="1" t="str">
        <f>IF(TRIM(sales_dataset[[#This Row],[CustomerName]])="",sales_dataset!F255, PROPER(TRIM(sales_dataset[[#This Row],[CustomerName]])))</f>
        <v>David</v>
      </c>
      <c r="F249" s="1" t="str">
        <f>IF(TRIM(sales_dataset[[#This Row],[City]])="", sales_dataset!$H$3, PROPER(TRIM(sales_dataset[[#This Row],[City]])))</f>
        <v>Mumbai</v>
      </c>
      <c r="G249" t="str">
        <f>PROPER(sales_dataset[[#This Row],[Region cleaned]])</f>
        <v>East</v>
      </c>
      <c r="H249" t="s">
        <v>190</v>
      </c>
      <c r="I249" t="str">
        <f>IF(TRIM(sales_dataset[[#This Row],[SalespersonName]])="",I252,PROPER(TRIM(sales_dataset[[#This Row],[SalespersonName]])))</f>
        <v>Raj</v>
      </c>
      <c r="J249" s="1" t="s">
        <v>22</v>
      </c>
      <c r="K249" s="1" t="str">
        <f>PROPER(sales_dataset[[#This Row],[ProductCategory cleaned]])</f>
        <v>Electronics</v>
      </c>
      <c r="L249" s="1" t="str">
        <f>PROPER(sales_dataset[[#This Row],[ProductName]])</f>
        <v>Shirt</v>
      </c>
      <c r="M249">
        <f>ABS(sales_dataset!W:W)</f>
        <v>2</v>
      </c>
      <c r="N249">
        <f>ABS(sales_dataset[[#This Row],[Column4]])</f>
        <v>100</v>
      </c>
      <c r="O249">
        <f t="shared" si="3"/>
        <v>200</v>
      </c>
    </row>
    <row r="250" spans="1:15" x14ac:dyDescent="0.3">
      <c r="A250" s="1" t="s">
        <v>595</v>
      </c>
      <c r="B250" s="2">
        <v>45376</v>
      </c>
      <c r="C250" s="1" t="str">
        <f>IF(TRIM(sales_dataset[[#This Row],[SalesChannel]])="",sales_dataset!C251,PROPER(TRIM(sales_dataset[[#This Row],[SalesChannel]])))</f>
        <v>Store</v>
      </c>
      <c r="D250" s="1" t="s">
        <v>596</v>
      </c>
      <c r="E250" s="1" t="str">
        <f>IF(TRIM(sales_dataset[[#This Row],[CustomerName]])="",sales_dataset!F256, PROPER(TRIM(sales_dataset[[#This Row],[CustomerName]])))</f>
        <v>John</v>
      </c>
      <c r="F250" s="1" t="str">
        <f>IF(TRIM(sales_dataset[[#This Row],[City]])="", sales_dataset!$H$3, PROPER(TRIM(sales_dataset[[#This Row],[City]])))</f>
        <v>Hyderabad</v>
      </c>
      <c r="G250" t="str">
        <f>PROPER(sales_dataset[[#This Row],[Region cleaned]])</f>
        <v>West</v>
      </c>
      <c r="H250" t="s">
        <v>136</v>
      </c>
      <c r="I250" t="str">
        <f>IF(TRIM(sales_dataset[[#This Row],[SalespersonName]])="",I253,PROPER(TRIM(sales_dataset[[#This Row],[SalespersonName]])))</f>
        <v>Anita</v>
      </c>
      <c r="J250" s="1" t="s">
        <v>81</v>
      </c>
      <c r="K250" s="1" t="str">
        <f>PROPER(sales_dataset[[#This Row],[ProductCategory cleaned]])</f>
        <v>Home</v>
      </c>
      <c r="L250" s="1" t="str">
        <f>PROPER(sales_dataset[[#This Row],[ProductName]])</f>
        <v>Sofa</v>
      </c>
      <c r="M250">
        <f>ABS(sales_dataset!W:W)</f>
        <v>5</v>
      </c>
      <c r="N250">
        <f>ABS(sales_dataset[[#This Row],[Column4]])</f>
        <v>100</v>
      </c>
      <c r="O250">
        <f t="shared" si="3"/>
        <v>500</v>
      </c>
    </row>
    <row r="251" spans="1:15" x14ac:dyDescent="0.3">
      <c r="A251" s="1" t="s">
        <v>597</v>
      </c>
      <c r="B251" s="2">
        <v>45486</v>
      </c>
      <c r="C251" s="1" t="str">
        <f>IF(TRIM(sales_dataset[[#This Row],[SalesChannel]])="",sales_dataset!C252,PROPER(TRIM(sales_dataset[[#This Row],[SalesChannel]])))</f>
        <v>Store</v>
      </c>
      <c r="D251" s="1" t="s">
        <v>155</v>
      </c>
      <c r="E251" s="1" t="str">
        <f>IF(TRIM(sales_dataset[[#This Row],[CustomerName]])="",sales_dataset!F257, PROPER(TRIM(sales_dataset[[#This Row],[CustomerName]])))</f>
        <v>John</v>
      </c>
      <c r="F251" s="1" t="str">
        <f>IF(TRIM(sales_dataset[[#This Row],[City]])="", sales_dataset!$H$3, PROPER(TRIM(sales_dataset[[#This Row],[City]])))</f>
        <v>Chennai</v>
      </c>
      <c r="G251" t="str">
        <f>PROPER(sales_dataset[[#This Row],[Region cleaned]])</f>
        <v>East</v>
      </c>
      <c r="H251" t="s">
        <v>224</v>
      </c>
      <c r="I251" t="str">
        <f>IF(TRIM(sales_dataset[[#This Row],[SalespersonName]])="",I254,PROPER(TRIM(sales_dataset[[#This Row],[SalespersonName]])))</f>
        <v>Raj</v>
      </c>
      <c r="J251" s="1" t="s">
        <v>598</v>
      </c>
      <c r="K251" s="1" t="str">
        <f>PROPER(sales_dataset[[#This Row],[ProductCategory cleaned]])</f>
        <v>Home</v>
      </c>
      <c r="L251" s="1" t="str">
        <f>PROPER(sales_dataset[[#This Row],[ProductName]])</f>
        <v/>
      </c>
      <c r="M251">
        <f>ABS(sales_dataset!W:W)</f>
        <v>3</v>
      </c>
      <c r="N251">
        <f>ABS(sales_dataset[[#This Row],[Column4]])</f>
        <v>1500</v>
      </c>
      <c r="O251">
        <f t="shared" si="3"/>
        <v>4500</v>
      </c>
    </row>
    <row r="252" spans="1:15" x14ac:dyDescent="0.3">
      <c r="A252" s="1" t="s">
        <v>599</v>
      </c>
      <c r="B252" s="2">
        <v>45293</v>
      </c>
      <c r="C252" s="1" t="str">
        <f>IF(TRIM(sales_dataset[[#This Row],[SalesChannel]])="",sales_dataset!C253,PROPER(TRIM(sales_dataset[[#This Row],[SalesChannel]])))</f>
        <v>Online</v>
      </c>
      <c r="D252" s="1" t="s">
        <v>360</v>
      </c>
      <c r="E252" s="1" t="str">
        <f>IF(TRIM(sales_dataset[[#This Row],[CustomerName]])="",sales_dataset!F258, PROPER(TRIM(sales_dataset[[#This Row],[CustomerName]])))</f>
        <v>Sara</v>
      </c>
      <c r="F252" s="1" t="str">
        <f>IF(TRIM(sales_dataset[[#This Row],[City]])="", sales_dataset!$H$3, PROPER(TRIM(sales_dataset[[#This Row],[City]])))</f>
        <v>Hyderabad</v>
      </c>
      <c r="G252" t="str">
        <f>PROPER(sales_dataset[[#This Row],[Region cleaned]])</f>
        <v>North</v>
      </c>
      <c r="H252" t="s">
        <v>67</v>
      </c>
      <c r="I252" t="str">
        <f>IF(TRIM(sales_dataset[[#This Row],[SalespersonName]])="",I255,PROPER(TRIM(sales_dataset[[#This Row],[SalespersonName]])))</f>
        <v>Raj</v>
      </c>
      <c r="J252" s="1" t="s">
        <v>286</v>
      </c>
      <c r="K252" s="1" t="str">
        <f>PROPER(sales_dataset[[#This Row],[ProductCategory cleaned]])</f>
        <v>Clothing</v>
      </c>
      <c r="L252" s="1" t="str">
        <f>PROPER(sales_dataset[[#This Row],[ProductName]])</f>
        <v/>
      </c>
      <c r="M252">
        <f>ABS(sales_dataset!W:W)</f>
        <v>2</v>
      </c>
      <c r="N252">
        <f>ABS(sales_dataset[[#This Row],[Column4]])</f>
        <v>100</v>
      </c>
      <c r="O252">
        <f t="shared" si="3"/>
        <v>200</v>
      </c>
    </row>
    <row r="253" spans="1:15" x14ac:dyDescent="0.3">
      <c r="A253" s="1" t="s">
        <v>600</v>
      </c>
      <c r="B253" s="2">
        <v>45491</v>
      </c>
      <c r="C253" s="1" t="str">
        <f>IF(TRIM(sales_dataset[[#This Row],[SalesChannel]])="",sales_dataset!C254,PROPER(TRIM(sales_dataset[[#This Row],[SalesChannel]])))</f>
        <v>Online</v>
      </c>
      <c r="D253" s="1" t="s">
        <v>317</v>
      </c>
      <c r="E253" s="1" t="str">
        <f>IF(TRIM(sales_dataset[[#This Row],[CustomerName]])="",sales_dataset!F259, PROPER(TRIM(sales_dataset[[#This Row],[CustomerName]])))</f>
        <v>Priya</v>
      </c>
      <c r="F253" s="1" t="str">
        <f>IF(TRIM(sales_dataset[[#This Row],[City]])="", sales_dataset!$H$3, PROPER(TRIM(sales_dataset[[#This Row],[City]])))</f>
        <v>Mumbai</v>
      </c>
      <c r="G253" t="str">
        <f>PROPER(sales_dataset[[#This Row],[Region cleaned]])</f>
        <v>East</v>
      </c>
      <c r="H253" t="s">
        <v>20</v>
      </c>
      <c r="I253" t="str">
        <f>IF(TRIM(sales_dataset[[#This Row],[SalespersonName]])="",I256,PROPER(TRIM(sales_dataset[[#This Row],[SalespersonName]])))</f>
        <v>Sam</v>
      </c>
      <c r="J253" s="1" t="s">
        <v>108</v>
      </c>
      <c r="K253" s="1" t="str">
        <f>PROPER(sales_dataset[[#This Row],[ProductCategory cleaned]])</f>
        <v>Electronics</v>
      </c>
      <c r="L253" s="1" t="str">
        <f>PROPER(sales_dataset[[#This Row],[ProductName]])</f>
        <v>Shirt</v>
      </c>
      <c r="M253">
        <f>ABS(sales_dataset!W:W)</f>
        <v>3</v>
      </c>
      <c r="N253">
        <f>ABS(sales_dataset[[#This Row],[Column4]])</f>
        <v>2500</v>
      </c>
      <c r="O253">
        <f t="shared" si="3"/>
        <v>7500</v>
      </c>
    </row>
    <row r="254" spans="1:15" x14ac:dyDescent="0.3">
      <c r="A254" s="1" t="s">
        <v>601</v>
      </c>
      <c r="B254" s="2">
        <v>45427</v>
      </c>
      <c r="C254" s="1" t="str">
        <f>IF(TRIM(sales_dataset[[#This Row],[SalesChannel]])="",sales_dataset!C255,PROPER(TRIM(sales_dataset[[#This Row],[SalesChannel]])))</f>
        <v>Online</v>
      </c>
      <c r="D254" s="1" t="s">
        <v>358</v>
      </c>
      <c r="E254" s="1" t="str">
        <f>IF(TRIM(sales_dataset[[#This Row],[CustomerName]])="",sales_dataset!F260, PROPER(TRIM(sales_dataset[[#This Row],[CustomerName]])))</f>
        <v>Priya</v>
      </c>
      <c r="F254" s="1" t="str">
        <f>IF(TRIM(sales_dataset[[#This Row],[City]])="", sales_dataset!$H$3, PROPER(TRIM(sales_dataset[[#This Row],[City]])))</f>
        <v>Bengaluru</v>
      </c>
      <c r="G254" t="str">
        <f>PROPER(sales_dataset[[#This Row],[Region cleaned]])</f>
        <v>North</v>
      </c>
      <c r="H254" t="s">
        <v>413</v>
      </c>
      <c r="I254" t="str">
        <f>IF(TRIM(sales_dataset[[#This Row],[SalespersonName]])="",I257,PROPER(TRIM(sales_dataset[[#This Row],[SalespersonName]])))</f>
        <v>Sam</v>
      </c>
      <c r="J254" s="1" t="s">
        <v>201</v>
      </c>
      <c r="K254" s="1" t="str">
        <f>PROPER(sales_dataset[[#This Row],[ProductCategory cleaned]])</f>
        <v>Home</v>
      </c>
      <c r="L254" s="1" t="str">
        <f>PROPER(sales_dataset[[#This Row],[ProductName]])</f>
        <v>Shirt</v>
      </c>
      <c r="M254">
        <f>ABS(sales_dataset!W:W)</f>
        <v>3</v>
      </c>
      <c r="N254">
        <f>ABS(sales_dataset[[#This Row],[Column4]])</f>
        <v>500</v>
      </c>
      <c r="O254">
        <f t="shared" si="3"/>
        <v>1500</v>
      </c>
    </row>
    <row r="255" spans="1:15" x14ac:dyDescent="0.3">
      <c r="A255" s="1" t="s">
        <v>602</v>
      </c>
      <c r="B255" s="2">
        <v>45524</v>
      </c>
      <c r="C255" s="1" t="str">
        <f>IF(TRIM(sales_dataset[[#This Row],[SalesChannel]])="",sales_dataset!C256,PROPER(TRIM(sales_dataset[[#This Row],[SalesChannel]])))</f>
        <v>Offline</v>
      </c>
      <c r="D255" s="1" t="s">
        <v>355</v>
      </c>
      <c r="E255" s="1" t="str">
        <f>IF(TRIM(sales_dataset[[#This Row],[CustomerName]])="",sales_dataset!F261, PROPER(TRIM(sales_dataset[[#This Row],[CustomerName]])))</f>
        <v>Sara</v>
      </c>
      <c r="F255" s="1" t="str">
        <f>IF(TRIM(sales_dataset[[#This Row],[City]])="", sales_dataset!$H$3, PROPER(TRIM(sales_dataset[[#This Row],[City]])))</f>
        <v>Mumbai</v>
      </c>
      <c r="G255" t="str">
        <f>PROPER(sales_dataset[[#This Row],[Region cleaned]])</f>
        <v>North</v>
      </c>
      <c r="H255" t="s">
        <v>67</v>
      </c>
      <c r="I255" t="str">
        <f>IF(TRIM(sales_dataset[[#This Row],[SalespersonName]])="",I258,PROPER(TRIM(sales_dataset[[#This Row],[SalespersonName]])))</f>
        <v>Anita</v>
      </c>
      <c r="J255" s="1" t="s">
        <v>455</v>
      </c>
      <c r="K255" s="1" t="str">
        <f>PROPER(sales_dataset[[#This Row],[ProductCategory cleaned]])</f>
        <v>Electronics</v>
      </c>
      <c r="L255" s="1" t="str">
        <f>PROPER(sales_dataset[[#This Row],[ProductName]])</f>
        <v>Shirt</v>
      </c>
      <c r="M255">
        <f>ABS(sales_dataset!W:W)</f>
        <v>4</v>
      </c>
      <c r="N255">
        <f>ABS(sales_dataset[[#This Row],[Column4]])</f>
        <v>1500</v>
      </c>
      <c r="O255">
        <f t="shared" si="3"/>
        <v>6000</v>
      </c>
    </row>
    <row r="256" spans="1:15" x14ac:dyDescent="0.3">
      <c r="A256" s="1" t="s">
        <v>603</v>
      </c>
      <c r="B256" s="2">
        <v>45438</v>
      </c>
      <c r="C256" s="1" t="str">
        <f>IF(TRIM(sales_dataset[[#This Row],[SalesChannel]])="",sales_dataset!C257,PROPER(TRIM(sales_dataset[[#This Row],[SalesChannel]])))</f>
        <v>Store</v>
      </c>
      <c r="D256" s="1" t="s">
        <v>604</v>
      </c>
      <c r="E256" s="1" t="str">
        <f>IF(TRIM(sales_dataset[[#This Row],[CustomerName]])="",sales_dataset!F262, PROPER(TRIM(sales_dataset[[#This Row],[CustomerName]])))</f>
        <v>Priya</v>
      </c>
      <c r="F256" s="1" t="str">
        <f>IF(TRIM(sales_dataset[[#This Row],[City]])="", sales_dataset!$H$3, PROPER(TRIM(sales_dataset[[#This Row],[City]])))</f>
        <v>Delhi</v>
      </c>
      <c r="G256" t="str">
        <f>PROPER(sales_dataset[[#This Row],[Region cleaned]])</f>
        <v>West</v>
      </c>
      <c r="H256" t="s">
        <v>237</v>
      </c>
      <c r="I256" t="str">
        <f>IF(TRIM(sales_dataset[[#This Row],[SalespersonName]])="",I259,PROPER(TRIM(sales_dataset[[#This Row],[SalespersonName]])))</f>
        <v>Raj</v>
      </c>
      <c r="J256" s="1" t="s">
        <v>286</v>
      </c>
      <c r="K256" s="1" t="str">
        <f>PROPER(sales_dataset[[#This Row],[ProductCategory cleaned]])</f>
        <v>Home</v>
      </c>
      <c r="L256" s="1" t="str">
        <f>PROPER(sales_dataset[[#This Row],[ProductName]])</f>
        <v>Sofa</v>
      </c>
      <c r="M256">
        <f>ABS(sales_dataset!W:W)</f>
        <v>5</v>
      </c>
      <c r="N256">
        <f>ABS(sales_dataset[[#This Row],[Column4]])</f>
        <v>100</v>
      </c>
      <c r="O256">
        <f t="shared" si="3"/>
        <v>500</v>
      </c>
    </row>
    <row r="257" spans="1:15" x14ac:dyDescent="0.3">
      <c r="A257" s="1" t="s">
        <v>605</v>
      </c>
      <c r="B257" s="2">
        <v>45508</v>
      </c>
      <c r="C257" s="1" t="str">
        <f>IF(TRIM(sales_dataset[[#This Row],[SalesChannel]])="",sales_dataset!C258,PROPER(TRIM(sales_dataset[[#This Row],[SalesChannel]])))</f>
        <v>Store</v>
      </c>
      <c r="D257" s="1" t="s">
        <v>407</v>
      </c>
      <c r="E257" s="1" t="str">
        <f>IF(TRIM(sales_dataset[[#This Row],[CustomerName]])="",sales_dataset!F263, PROPER(TRIM(sales_dataset[[#This Row],[CustomerName]])))</f>
        <v>Priya</v>
      </c>
      <c r="F257" s="1" t="str">
        <f>IF(TRIM(sales_dataset[[#This Row],[City]])="", sales_dataset!$H$3, PROPER(TRIM(sales_dataset[[#This Row],[City]])))</f>
        <v>Chennai</v>
      </c>
      <c r="G257" t="str">
        <f>PROPER(sales_dataset[[#This Row],[Region cleaned]])</f>
        <v>North</v>
      </c>
      <c r="H257" t="s">
        <v>29</v>
      </c>
      <c r="I257" t="str">
        <f>IF(TRIM(sales_dataset[[#This Row],[SalespersonName]])="",I260,PROPER(TRIM(sales_dataset[[#This Row],[SalespersonName]])))</f>
        <v>Raj</v>
      </c>
      <c r="J257" s="1" t="s">
        <v>187</v>
      </c>
      <c r="K257" s="1" t="str">
        <f>PROPER(sales_dataset[[#This Row],[ProductCategory cleaned]])</f>
        <v>Electronics</v>
      </c>
      <c r="L257" s="1" t="str">
        <f>PROPER(sales_dataset[[#This Row],[ProductName]])</f>
        <v>Watch</v>
      </c>
      <c r="M257">
        <f>ABS(sales_dataset!W:W)</f>
        <v>3</v>
      </c>
      <c r="N257">
        <f>ABS(sales_dataset[[#This Row],[Column4]])</f>
        <v>100</v>
      </c>
      <c r="O257">
        <f t="shared" si="3"/>
        <v>300</v>
      </c>
    </row>
    <row r="258" spans="1:15" x14ac:dyDescent="0.3">
      <c r="A258" s="1" t="s">
        <v>606</v>
      </c>
      <c r="B258" s="2">
        <v>45576</v>
      </c>
      <c r="C258" s="1" t="str">
        <f>IF(TRIM(sales_dataset[[#This Row],[SalesChannel]])="",sales_dataset!C259,PROPER(TRIM(sales_dataset[[#This Row],[SalesChannel]])))</f>
        <v>Online</v>
      </c>
      <c r="D258" s="1" t="s">
        <v>401</v>
      </c>
      <c r="E258" s="1" t="str">
        <f>IF(TRIM(sales_dataset[[#This Row],[CustomerName]])="",sales_dataset!F264, PROPER(TRIM(sales_dataset[[#This Row],[CustomerName]])))</f>
        <v>Amit</v>
      </c>
      <c r="F258" s="1" t="str">
        <f>IF(TRIM(sales_dataset[[#This Row],[City]])="", sales_dataset!$H$3, PROPER(TRIM(sales_dataset[[#This Row],[City]])))</f>
        <v>Hyderabad</v>
      </c>
      <c r="G258" t="str">
        <f>PROPER(sales_dataset[[#This Row],[Region cleaned]])</f>
        <v>West</v>
      </c>
      <c r="H258" t="s">
        <v>107</v>
      </c>
      <c r="I258" t="str">
        <f>IF(TRIM(sales_dataset[[#This Row],[SalespersonName]])="",I261,PROPER(TRIM(sales_dataset[[#This Row],[SalespersonName]])))</f>
        <v>Sam</v>
      </c>
      <c r="J258" s="1" t="s">
        <v>556</v>
      </c>
      <c r="K258" s="1" t="str">
        <f>PROPER(sales_dataset[[#This Row],[ProductCategory cleaned]])</f>
        <v>Electronics</v>
      </c>
      <c r="L258" s="1" t="str">
        <f>PROPER(sales_dataset[[#This Row],[ProductName]])</f>
        <v>Shirt</v>
      </c>
      <c r="M258">
        <f>ABS(sales_dataset!W:W)</f>
        <v>1</v>
      </c>
      <c r="N258">
        <f>ABS(sales_dataset[[#This Row],[Column4]])</f>
        <v>100</v>
      </c>
      <c r="O258">
        <f t="shared" si="3"/>
        <v>100</v>
      </c>
    </row>
    <row r="259" spans="1:15" x14ac:dyDescent="0.3">
      <c r="A259" s="1" t="s">
        <v>607</v>
      </c>
      <c r="B259" s="2">
        <v>45541</v>
      </c>
      <c r="C259" s="1" t="str">
        <f>IF(TRIM(sales_dataset[[#This Row],[SalesChannel]])="",sales_dataset!C260,PROPER(TRIM(sales_dataset[[#This Row],[SalesChannel]])))</f>
        <v>Online</v>
      </c>
      <c r="D259" s="1" t="s">
        <v>211</v>
      </c>
      <c r="E259" s="1" t="str">
        <f>IF(TRIM(sales_dataset[[#This Row],[CustomerName]])="",sales_dataset!F265, PROPER(TRIM(sales_dataset[[#This Row],[CustomerName]])))</f>
        <v>Amit</v>
      </c>
      <c r="F259" s="1" t="str">
        <f>IF(TRIM(sales_dataset[[#This Row],[City]])="", sales_dataset!$H$3, PROPER(TRIM(sales_dataset[[#This Row],[City]])))</f>
        <v>Mumbai</v>
      </c>
      <c r="G259" t="str">
        <f>PROPER(sales_dataset[[#This Row],[Region cleaned]])</f>
        <v>North</v>
      </c>
      <c r="H259" t="s">
        <v>376</v>
      </c>
      <c r="I259" t="str">
        <f>IF(TRIM(sales_dataset[[#This Row],[SalespersonName]])="",I262,PROPER(TRIM(sales_dataset[[#This Row],[SalespersonName]])))</f>
        <v>Kevin</v>
      </c>
      <c r="J259" s="1" t="s">
        <v>242</v>
      </c>
      <c r="K259" s="1" t="str">
        <f>PROPER(sales_dataset[[#This Row],[ProductCategory cleaned]])</f>
        <v>Clothing</v>
      </c>
      <c r="L259" s="1" t="str">
        <f>PROPER(sales_dataset[[#This Row],[ProductName]])</f>
        <v>Tv</v>
      </c>
      <c r="M259">
        <f>ABS(sales_dataset!W:W)</f>
        <v>1</v>
      </c>
      <c r="N259">
        <f>ABS(sales_dataset[[#This Row],[Column4]])</f>
        <v>2500</v>
      </c>
      <c r="O259">
        <f t="shared" ref="O259:O322" si="4">M259*N259</f>
        <v>2500</v>
      </c>
    </row>
    <row r="260" spans="1:15" x14ac:dyDescent="0.3">
      <c r="A260" s="1" t="s">
        <v>608</v>
      </c>
      <c r="B260" s="2">
        <v>45371</v>
      </c>
      <c r="C260" s="1" t="str">
        <f>IF(TRIM(sales_dataset[[#This Row],[SalesChannel]])="",sales_dataset!C261,PROPER(TRIM(sales_dataset[[#This Row],[SalesChannel]])))</f>
        <v>Online</v>
      </c>
      <c r="D260" s="1" t="s">
        <v>273</v>
      </c>
      <c r="E260" s="1" t="str">
        <f>IF(TRIM(sales_dataset[[#This Row],[CustomerName]])="",sales_dataset!F266, PROPER(TRIM(sales_dataset[[#This Row],[CustomerName]])))</f>
        <v>Sara</v>
      </c>
      <c r="F260" s="1" t="str">
        <f>IF(TRIM(sales_dataset[[#This Row],[City]])="", sales_dataset!$H$3, PROPER(TRIM(sales_dataset[[#This Row],[City]])))</f>
        <v>Mumbai</v>
      </c>
      <c r="G260" t="str">
        <f>PROPER(sales_dataset[[#This Row],[Region cleaned]])</f>
        <v>South</v>
      </c>
      <c r="H260" t="s">
        <v>193</v>
      </c>
      <c r="I260" t="str">
        <f>IF(TRIM(sales_dataset[[#This Row],[SalespersonName]])="",I263,PROPER(TRIM(sales_dataset[[#This Row],[SalespersonName]])))</f>
        <v>Kevin</v>
      </c>
      <c r="J260" s="1" t="s">
        <v>609</v>
      </c>
      <c r="K260" s="1" t="str">
        <f>PROPER(sales_dataset[[#This Row],[ProductCategory cleaned]])</f>
        <v>Home</v>
      </c>
      <c r="L260" s="1" t="str">
        <f>PROPER(sales_dataset[[#This Row],[ProductName]])</f>
        <v>Laptop</v>
      </c>
      <c r="M260">
        <f>ABS(sales_dataset!W:W)</f>
        <v>3</v>
      </c>
      <c r="N260">
        <f>ABS(sales_dataset[[#This Row],[Column4]])</f>
        <v>100</v>
      </c>
      <c r="O260">
        <f t="shared" si="4"/>
        <v>300</v>
      </c>
    </row>
    <row r="261" spans="1:15" x14ac:dyDescent="0.3">
      <c r="A261" s="1" t="s">
        <v>610</v>
      </c>
      <c r="B261" s="2">
        <v>45389</v>
      </c>
      <c r="C261" s="1" t="str">
        <f>IF(TRIM(sales_dataset[[#This Row],[SalesChannel]])="",sales_dataset!C262,PROPER(TRIM(sales_dataset[[#This Row],[SalesChannel]])))</f>
        <v>Offline</v>
      </c>
      <c r="D261" s="1" t="s">
        <v>323</v>
      </c>
      <c r="E261" s="1" t="str">
        <f>IF(TRIM(sales_dataset[[#This Row],[CustomerName]])="",sales_dataset!F267, PROPER(TRIM(sales_dataset[[#This Row],[CustomerName]])))</f>
        <v>Priya</v>
      </c>
      <c r="F261" s="1" t="str">
        <f>IF(TRIM(sales_dataset[[#This Row],[City]])="", sales_dataset!$H$3, PROPER(TRIM(sales_dataset[[#This Row],[City]])))</f>
        <v>Delhi</v>
      </c>
      <c r="G261" t="str">
        <f>PROPER(sales_dataset[[#This Row],[Region cleaned]])</f>
        <v>North</v>
      </c>
      <c r="H261" t="s">
        <v>47</v>
      </c>
      <c r="I261" t="str">
        <f>IF(TRIM(sales_dataset[[#This Row],[SalespersonName]])="",I264,PROPER(TRIM(sales_dataset[[#This Row],[SalespersonName]])))</f>
        <v>Sam</v>
      </c>
      <c r="J261" s="1" t="s">
        <v>353</v>
      </c>
      <c r="K261" s="1" t="str">
        <f>PROPER(sales_dataset[[#This Row],[ProductCategory cleaned]])</f>
        <v>Electronics</v>
      </c>
      <c r="L261" s="1" t="str">
        <f>PROPER(sales_dataset[[#This Row],[ProductName]])</f>
        <v>Sofa</v>
      </c>
      <c r="M261">
        <f>ABS(sales_dataset!W:W)</f>
        <v>1</v>
      </c>
      <c r="N261">
        <f>ABS(sales_dataset[[#This Row],[Column4]])</f>
        <v>500</v>
      </c>
      <c r="O261">
        <f t="shared" si="4"/>
        <v>500</v>
      </c>
    </row>
    <row r="262" spans="1:15" x14ac:dyDescent="0.3">
      <c r="A262" s="1" t="s">
        <v>611</v>
      </c>
      <c r="B262" s="2">
        <v>45443</v>
      </c>
      <c r="C262" s="1" t="str">
        <f>IF(TRIM(sales_dataset[[#This Row],[SalesChannel]])="",sales_dataset!C263,PROPER(TRIM(sales_dataset[[#This Row],[SalesChannel]])))</f>
        <v>Store</v>
      </c>
      <c r="D262" s="1" t="s">
        <v>189</v>
      </c>
      <c r="E262" s="1" t="str">
        <f>IF(TRIM(sales_dataset[[#This Row],[CustomerName]])="",sales_dataset!F268, PROPER(TRIM(sales_dataset[[#This Row],[CustomerName]])))</f>
        <v>Priya</v>
      </c>
      <c r="F262" s="1" t="str">
        <f>IF(TRIM(sales_dataset[[#This Row],[City]])="", sales_dataset!$H$3, PROPER(TRIM(sales_dataset[[#This Row],[City]])))</f>
        <v>Bengaluru</v>
      </c>
      <c r="G262" t="str">
        <f>PROPER(sales_dataset[[#This Row],[Region cleaned]])</f>
        <v>East</v>
      </c>
      <c r="H262" t="s">
        <v>47</v>
      </c>
      <c r="I262" t="str">
        <f>IF(TRIM(sales_dataset[[#This Row],[SalespersonName]])="",I265,PROPER(TRIM(sales_dataset[[#This Row],[SalespersonName]])))</f>
        <v>Kevin</v>
      </c>
      <c r="J262" s="1" t="s">
        <v>22</v>
      </c>
      <c r="K262" s="1" t="str">
        <f>PROPER(sales_dataset[[#This Row],[ProductCategory cleaned]])</f>
        <v>Electronics</v>
      </c>
      <c r="L262" s="1" t="str">
        <f>PROPER(sales_dataset[[#This Row],[ProductName]])</f>
        <v>Laptop</v>
      </c>
      <c r="M262">
        <f>ABS(sales_dataset!W:W)</f>
        <v>3</v>
      </c>
      <c r="N262">
        <f>ABS(sales_dataset[[#This Row],[Column4]])</f>
        <v>100</v>
      </c>
      <c r="O262">
        <f t="shared" si="4"/>
        <v>300</v>
      </c>
    </row>
    <row r="263" spans="1:15" x14ac:dyDescent="0.3">
      <c r="A263" s="1" t="s">
        <v>612</v>
      </c>
      <c r="B263" s="2">
        <v>45403</v>
      </c>
      <c r="C263" s="1" t="str">
        <f>IF(TRIM(sales_dataset[[#This Row],[SalesChannel]])="",sales_dataset!C264,PROPER(TRIM(sales_dataset[[#This Row],[SalesChannel]])))</f>
        <v>Store</v>
      </c>
      <c r="D263" s="1" t="s">
        <v>543</v>
      </c>
      <c r="E263" s="1" t="str">
        <f>IF(TRIM(sales_dataset[[#This Row],[CustomerName]])="",sales_dataset!F269, PROPER(TRIM(sales_dataset[[#This Row],[CustomerName]])))</f>
        <v>David</v>
      </c>
      <c r="F263" s="1" t="str">
        <f>IF(TRIM(sales_dataset[[#This Row],[City]])="", sales_dataset!$H$3, PROPER(TRIM(sales_dataset[[#This Row],[City]])))</f>
        <v>Delhi</v>
      </c>
      <c r="G263" t="str">
        <f>PROPER(sales_dataset[[#This Row],[Region cleaned]])</f>
        <v>East</v>
      </c>
      <c r="H263" t="s">
        <v>93</v>
      </c>
      <c r="I263" t="str">
        <f>IF(TRIM(sales_dataset[[#This Row],[SalespersonName]])="",I266,PROPER(TRIM(sales_dataset[[#This Row],[SalespersonName]])))</f>
        <v>Raj</v>
      </c>
      <c r="J263" s="1" t="s">
        <v>291</v>
      </c>
      <c r="K263" s="1" t="str">
        <f>PROPER(sales_dataset[[#This Row],[ProductCategory cleaned]])</f>
        <v>Clothing</v>
      </c>
      <c r="L263" s="1" t="str">
        <f>PROPER(sales_dataset[[#This Row],[ProductName]])</f>
        <v/>
      </c>
      <c r="M263">
        <f>ABS(sales_dataset!W:W)</f>
        <v>2</v>
      </c>
      <c r="N263">
        <f>ABS(sales_dataset[[#This Row],[Column4]])</f>
        <v>100</v>
      </c>
      <c r="O263">
        <f t="shared" si="4"/>
        <v>200</v>
      </c>
    </row>
    <row r="264" spans="1:15" x14ac:dyDescent="0.3">
      <c r="A264" s="1" t="s">
        <v>613</v>
      </c>
      <c r="B264" s="2">
        <v>45321</v>
      </c>
      <c r="C264" s="1" t="str">
        <f>IF(TRIM(sales_dataset[[#This Row],[SalesChannel]])="",sales_dataset!C265,PROPER(TRIM(sales_dataset[[#This Row],[SalesChannel]])))</f>
        <v>Online</v>
      </c>
      <c r="D264" s="1" t="s">
        <v>420</v>
      </c>
      <c r="E264" s="1" t="str">
        <f>IF(TRIM(sales_dataset[[#This Row],[CustomerName]])="",sales_dataset!F270, PROPER(TRIM(sales_dataset[[#This Row],[CustomerName]])))</f>
        <v>John</v>
      </c>
      <c r="F264" s="1" t="str">
        <f>IF(TRIM(sales_dataset[[#This Row],[City]])="", sales_dataset!$H$3, PROPER(TRIM(sales_dataset[[#This Row],[City]])))</f>
        <v>Delhi</v>
      </c>
      <c r="G264" t="str">
        <f>PROPER(sales_dataset[[#This Row],[Region cleaned]])</f>
        <v>North</v>
      </c>
      <c r="H264" t="s">
        <v>501</v>
      </c>
      <c r="I264" t="str">
        <f>IF(TRIM(sales_dataset[[#This Row],[SalespersonName]])="",I267,PROPER(TRIM(sales_dataset[[#This Row],[SalespersonName]])))</f>
        <v>Sam</v>
      </c>
      <c r="J264" s="1" t="s">
        <v>68</v>
      </c>
      <c r="K264" s="1" t="str">
        <f>PROPER(sales_dataset[[#This Row],[ProductCategory cleaned]])</f>
        <v>Home</v>
      </c>
      <c r="L264" s="1" t="str">
        <f>PROPER(sales_dataset[[#This Row],[ProductName]])</f>
        <v>Sofa</v>
      </c>
      <c r="M264">
        <f>ABS(sales_dataset!W:W)</f>
        <v>1</v>
      </c>
      <c r="N264">
        <f>ABS(sales_dataset[[#This Row],[Column4]])</f>
        <v>1500</v>
      </c>
      <c r="O264">
        <f t="shared" si="4"/>
        <v>1500</v>
      </c>
    </row>
    <row r="265" spans="1:15" x14ac:dyDescent="0.3">
      <c r="A265" s="1" t="s">
        <v>614</v>
      </c>
      <c r="B265" s="2">
        <v>45588</v>
      </c>
      <c r="C265" s="1" t="str">
        <f>IF(TRIM(sales_dataset[[#This Row],[SalesChannel]])="",sales_dataset!C266,PROPER(TRIM(sales_dataset[[#This Row],[SalesChannel]])))</f>
        <v>Online</v>
      </c>
      <c r="D265" s="1" t="s">
        <v>139</v>
      </c>
      <c r="E265" s="1" t="str">
        <f>IF(TRIM(sales_dataset[[#This Row],[CustomerName]])="",sales_dataset!F271, PROPER(TRIM(sales_dataset[[#This Row],[CustomerName]])))</f>
        <v>Amit</v>
      </c>
      <c r="F265" s="1" t="str">
        <f>IF(TRIM(sales_dataset[[#This Row],[City]])="", sales_dataset!$H$3, PROPER(TRIM(sales_dataset[[#This Row],[City]])))</f>
        <v>Delhi</v>
      </c>
      <c r="G265" t="str">
        <f>PROPER(sales_dataset[[#This Row],[Region cleaned]])</f>
        <v>North</v>
      </c>
      <c r="H265" t="s">
        <v>350</v>
      </c>
      <c r="I265" t="str">
        <f>IF(TRIM(sales_dataset[[#This Row],[SalespersonName]])="",I268,PROPER(TRIM(sales_dataset[[#This Row],[SalespersonName]])))</f>
        <v>Megha</v>
      </c>
      <c r="J265" s="1" t="s">
        <v>68</v>
      </c>
      <c r="K265" s="1" t="str">
        <f>PROPER(sales_dataset[[#This Row],[ProductCategory cleaned]])</f>
        <v>Clothing</v>
      </c>
      <c r="L265" s="1" t="str">
        <f>PROPER(sales_dataset[[#This Row],[ProductName]])</f>
        <v>Shirt</v>
      </c>
      <c r="M265">
        <f>ABS(sales_dataset!W:W)</f>
        <v>4</v>
      </c>
      <c r="N265">
        <f>ABS(sales_dataset[[#This Row],[Column4]])</f>
        <v>500</v>
      </c>
      <c r="O265">
        <f t="shared" si="4"/>
        <v>2000</v>
      </c>
    </row>
    <row r="266" spans="1:15" x14ac:dyDescent="0.3">
      <c r="A266" s="1" t="s">
        <v>615</v>
      </c>
      <c r="B266" s="2">
        <v>45569</v>
      </c>
      <c r="C266" s="1" t="str">
        <f>IF(TRIM(sales_dataset[[#This Row],[SalesChannel]])="",sales_dataset!C267,PROPER(TRIM(sales_dataset[[#This Row],[SalesChannel]])))</f>
        <v>Online</v>
      </c>
      <c r="D266" s="1" t="s">
        <v>473</v>
      </c>
      <c r="E266" s="1" t="str">
        <f>IF(TRIM(sales_dataset[[#This Row],[CustomerName]])="",sales_dataset!F272, PROPER(TRIM(sales_dataset[[#This Row],[CustomerName]])))</f>
        <v>Sara</v>
      </c>
      <c r="F266" s="1" t="str">
        <f>IF(TRIM(sales_dataset[[#This Row],[City]])="", sales_dataset!$H$3, PROPER(TRIM(sales_dataset[[#This Row],[City]])))</f>
        <v>Delhi</v>
      </c>
      <c r="G266" t="str">
        <f>PROPER(sales_dataset[[#This Row],[Region cleaned]])</f>
        <v>East</v>
      </c>
      <c r="H266" t="s">
        <v>433</v>
      </c>
      <c r="I266" t="str">
        <f>IF(TRIM(sales_dataset[[#This Row],[SalespersonName]])="",I269,PROPER(TRIM(sales_dataset[[#This Row],[SalespersonName]])))</f>
        <v>Raj</v>
      </c>
      <c r="J266" s="1" t="s">
        <v>126</v>
      </c>
      <c r="K266" s="1" t="str">
        <f>PROPER(sales_dataset[[#This Row],[ProductCategory cleaned]])</f>
        <v>Electronics</v>
      </c>
      <c r="L266" s="1" t="str">
        <f>PROPER(sales_dataset[[#This Row],[ProductName]])</f>
        <v>Sofa</v>
      </c>
      <c r="M266">
        <f>ABS(sales_dataset!W:W)</f>
        <v>4</v>
      </c>
      <c r="N266">
        <f>ABS(sales_dataset[[#This Row],[Column4]])</f>
        <v>2500</v>
      </c>
      <c r="O266">
        <f t="shared" si="4"/>
        <v>10000</v>
      </c>
    </row>
    <row r="267" spans="1:15" x14ac:dyDescent="0.3">
      <c r="A267" s="1" t="s">
        <v>616</v>
      </c>
      <c r="B267" s="2">
        <v>45323</v>
      </c>
      <c r="C267" s="1" t="str">
        <f>IF(TRIM(sales_dataset[[#This Row],[SalesChannel]])="",sales_dataset!C268,PROPER(TRIM(sales_dataset[[#This Row],[SalesChannel]])))</f>
        <v>Offline</v>
      </c>
      <c r="D267" s="1" t="s">
        <v>200</v>
      </c>
      <c r="E267" s="1" t="str">
        <f>IF(TRIM(sales_dataset[[#This Row],[CustomerName]])="",sales_dataset!F273, PROPER(TRIM(sales_dataset[[#This Row],[CustomerName]])))</f>
        <v>Priya</v>
      </c>
      <c r="F267" s="1" t="str">
        <f>IF(TRIM(sales_dataset[[#This Row],[City]])="", sales_dataset!$H$3, PROPER(TRIM(sales_dataset[[#This Row],[City]])))</f>
        <v>Bengaluru</v>
      </c>
      <c r="G267" t="str">
        <f>PROPER(sales_dataset[[#This Row],[Region cleaned]])</f>
        <v>East</v>
      </c>
      <c r="H267" t="s">
        <v>416</v>
      </c>
      <c r="I267" t="str">
        <f>IF(TRIM(sales_dataset[[#This Row],[SalespersonName]])="",I270,PROPER(TRIM(sales_dataset[[#This Row],[SalespersonName]])))</f>
        <v>Anita</v>
      </c>
      <c r="J267" s="1" t="s">
        <v>75</v>
      </c>
      <c r="K267" s="1" t="str">
        <f>PROPER(sales_dataset[[#This Row],[ProductCategory cleaned]])</f>
        <v>Clothing</v>
      </c>
      <c r="L267" s="1" t="str">
        <f>PROPER(sales_dataset[[#This Row],[ProductName]])</f>
        <v/>
      </c>
      <c r="M267">
        <f>ABS(sales_dataset!W:W)</f>
        <v>4</v>
      </c>
      <c r="N267">
        <f>ABS(sales_dataset[[#This Row],[Column4]])</f>
        <v>100</v>
      </c>
      <c r="O267">
        <f t="shared" si="4"/>
        <v>400</v>
      </c>
    </row>
    <row r="268" spans="1:15" x14ac:dyDescent="0.3">
      <c r="A268" s="1" t="s">
        <v>617</v>
      </c>
      <c r="B268" s="2">
        <v>45452</v>
      </c>
      <c r="C268" s="1" t="str">
        <f>IF(TRIM(sales_dataset[[#This Row],[SalesChannel]])="",sales_dataset!C269,PROPER(TRIM(sales_dataset[[#This Row],[SalesChannel]])))</f>
        <v>Store</v>
      </c>
      <c r="D268" s="1" t="s">
        <v>106</v>
      </c>
      <c r="E268" s="1" t="str">
        <f>IF(TRIM(sales_dataset[[#This Row],[CustomerName]])="",sales_dataset!F274, PROPER(TRIM(sales_dataset[[#This Row],[CustomerName]])))</f>
        <v>David</v>
      </c>
      <c r="F268" s="1" t="str">
        <f>IF(TRIM(sales_dataset[[#This Row],[City]])="", sales_dataset!$H$3, PROPER(TRIM(sales_dataset[[#This Row],[City]])))</f>
        <v>Bengaluru</v>
      </c>
      <c r="G268" t="str">
        <f>PROPER(sales_dataset[[#This Row],[Region cleaned]])</f>
        <v>East</v>
      </c>
      <c r="H268" t="s">
        <v>433</v>
      </c>
      <c r="I268" t="str">
        <f>IF(TRIM(sales_dataset[[#This Row],[SalespersonName]])="",I271,PROPER(TRIM(sales_dataset[[#This Row],[SalespersonName]])))</f>
        <v>Megha</v>
      </c>
      <c r="J268" s="1" t="s">
        <v>288</v>
      </c>
      <c r="K268" s="1" t="str">
        <f>PROPER(sales_dataset[[#This Row],[ProductCategory cleaned]])</f>
        <v>Home</v>
      </c>
      <c r="L268" s="1" t="str">
        <f>PROPER(sales_dataset[[#This Row],[ProductName]])</f>
        <v>Watch</v>
      </c>
      <c r="M268">
        <f>ABS(sales_dataset!W:W)</f>
        <v>3</v>
      </c>
      <c r="N268">
        <f>ABS(sales_dataset[[#This Row],[Column4]])</f>
        <v>2000</v>
      </c>
      <c r="O268">
        <f t="shared" si="4"/>
        <v>6000</v>
      </c>
    </row>
    <row r="269" spans="1:15" x14ac:dyDescent="0.3">
      <c r="A269" s="1" t="s">
        <v>618</v>
      </c>
      <c r="B269" s="2">
        <v>45321</v>
      </c>
      <c r="C269" s="1" t="str">
        <f>IF(TRIM(sales_dataset[[#This Row],[SalesChannel]])="",sales_dataset!C270,PROPER(TRIM(sales_dataset[[#This Row],[SalesChannel]])))</f>
        <v>Store</v>
      </c>
      <c r="D269" s="1" t="s">
        <v>619</v>
      </c>
      <c r="E269" s="1" t="str">
        <f>IF(TRIM(sales_dataset[[#This Row],[CustomerName]])="",sales_dataset!F275, PROPER(TRIM(sales_dataset[[#This Row],[CustomerName]])))</f>
        <v>Priya</v>
      </c>
      <c r="F269" s="1" t="str">
        <f>IF(TRIM(sales_dataset[[#This Row],[City]])="", sales_dataset!$H$3, PROPER(TRIM(sales_dataset[[#This Row],[City]])))</f>
        <v>Bengaluru</v>
      </c>
      <c r="G269" t="str">
        <f>PROPER(sales_dataset[[#This Row],[Region cleaned]])</f>
        <v>East</v>
      </c>
      <c r="H269" t="s">
        <v>93</v>
      </c>
      <c r="I269" t="str">
        <f>IF(TRIM(sales_dataset[[#This Row],[SalespersonName]])="",I272,PROPER(TRIM(sales_dataset[[#This Row],[SalespersonName]])))</f>
        <v>Raj</v>
      </c>
      <c r="J269" s="1" t="s">
        <v>340</v>
      </c>
      <c r="K269" s="1" t="str">
        <f>PROPER(sales_dataset[[#This Row],[ProductCategory cleaned]])</f>
        <v>Electronics</v>
      </c>
      <c r="L269" s="1" t="str">
        <f>PROPER(sales_dataset[[#This Row],[ProductName]])</f>
        <v/>
      </c>
      <c r="M269">
        <f>ABS(sales_dataset!W:W)</f>
        <v>1</v>
      </c>
      <c r="N269">
        <f>ABS(sales_dataset[[#This Row],[Column4]])</f>
        <v>500</v>
      </c>
      <c r="O269">
        <f t="shared" si="4"/>
        <v>500</v>
      </c>
    </row>
    <row r="270" spans="1:15" x14ac:dyDescent="0.3">
      <c r="A270" s="1" t="s">
        <v>620</v>
      </c>
      <c r="B270" s="2">
        <v>45317</v>
      </c>
      <c r="C270" s="1" t="str">
        <f>IF(TRIM(sales_dataset[[#This Row],[SalesChannel]])="",sales_dataset!C271,PROPER(TRIM(sales_dataset[[#This Row],[SalesChannel]])))</f>
        <v>Online</v>
      </c>
      <c r="D270" s="1" t="s">
        <v>92</v>
      </c>
      <c r="E270" s="1" t="str">
        <f>IF(TRIM(sales_dataset[[#This Row],[CustomerName]])="",sales_dataset!F276, PROPER(TRIM(sales_dataset[[#This Row],[CustomerName]])))</f>
        <v>Priya</v>
      </c>
      <c r="F270" s="1" t="str">
        <f>IF(TRIM(sales_dataset[[#This Row],[City]])="", sales_dataset!$H$3, PROPER(TRIM(sales_dataset[[#This Row],[City]])))</f>
        <v>Mumbai</v>
      </c>
      <c r="G270" t="str">
        <f>PROPER(sales_dataset[[#This Row],[Region cleaned]])</f>
        <v>West</v>
      </c>
      <c r="H270" t="s">
        <v>29</v>
      </c>
      <c r="I270" t="str">
        <f>IF(TRIM(sales_dataset[[#This Row],[SalespersonName]])="",I273,PROPER(TRIM(sales_dataset[[#This Row],[SalespersonName]])))</f>
        <v>Raj</v>
      </c>
      <c r="J270" s="1" t="s">
        <v>303</v>
      </c>
      <c r="K270" s="1" t="str">
        <f>PROPER(sales_dataset[[#This Row],[ProductCategory cleaned]])</f>
        <v>Clothing</v>
      </c>
      <c r="L270" s="1" t="str">
        <f>PROPER(sales_dataset[[#This Row],[ProductName]])</f>
        <v>Shirt</v>
      </c>
      <c r="M270">
        <f>ABS(sales_dataset!W:W)</f>
        <v>4</v>
      </c>
      <c r="N270">
        <f>ABS(sales_dataset[[#This Row],[Column4]])</f>
        <v>500</v>
      </c>
      <c r="O270">
        <f t="shared" si="4"/>
        <v>2000</v>
      </c>
    </row>
    <row r="271" spans="1:15" x14ac:dyDescent="0.3">
      <c r="A271" s="1" t="s">
        <v>621</v>
      </c>
      <c r="B271" s="2">
        <v>45591</v>
      </c>
      <c r="C271" s="1" t="str">
        <f>IF(TRIM(sales_dataset[[#This Row],[SalesChannel]])="",sales_dataset!C272,PROPER(TRIM(sales_dataset[[#This Row],[SalesChannel]])))</f>
        <v>Online</v>
      </c>
      <c r="D271" s="1" t="s">
        <v>622</v>
      </c>
      <c r="E271" s="1" t="str">
        <f>IF(TRIM(sales_dataset[[#This Row],[CustomerName]])="",sales_dataset!F277, PROPER(TRIM(sales_dataset[[#This Row],[CustomerName]])))</f>
        <v>Sara</v>
      </c>
      <c r="F271" s="1" t="str">
        <f>IF(TRIM(sales_dataset[[#This Row],[City]])="", sales_dataset!$H$3, PROPER(TRIM(sales_dataset[[#This Row],[City]])))</f>
        <v>Mumbai</v>
      </c>
      <c r="G271" t="str">
        <f>PROPER(sales_dataset[[#This Row],[Region cleaned]])</f>
        <v>North</v>
      </c>
      <c r="H271" t="s">
        <v>111</v>
      </c>
      <c r="I271" t="str">
        <f>IF(TRIM(sales_dataset[[#This Row],[SalespersonName]])="",I274,PROPER(TRIM(sales_dataset[[#This Row],[SalespersonName]])))</f>
        <v>Sam</v>
      </c>
      <c r="J271" s="1" t="s">
        <v>340</v>
      </c>
      <c r="K271" s="1" t="str">
        <f>PROPER(sales_dataset[[#This Row],[ProductCategory cleaned]])</f>
        <v>Electronics</v>
      </c>
      <c r="L271" s="1" t="str">
        <f>PROPER(sales_dataset[[#This Row],[ProductName]])</f>
        <v/>
      </c>
      <c r="M271">
        <f>ABS(sales_dataset!W:W)</f>
        <v>1</v>
      </c>
      <c r="N271">
        <f>ABS(sales_dataset[[#This Row],[Column4]])</f>
        <v>500</v>
      </c>
      <c r="O271">
        <f t="shared" si="4"/>
        <v>500</v>
      </c>
    </row>
    <row r="272" spans="1:15" x14ac:dyDescent="0.3">
      <c r="A272" s="1" t="s">
        <v>623</v>
      </c>
      <c r="B272" s="2">
        <v>45536</v>
      </c>
      <c r="C272" s="1" t="str">
        <f>IF(TRIM(sales_dataset[[#This Row],[SalesChannel]])="",sales_dataset!C273,PROPER(TRIM(sales_dataset[[#This Row],[SalesChannel]])))</f>
        <v>Online</v>
      </c>
      <c r="D272" s="1" t="s">
        <v>393</v>
      </c>
      <c r="E272" s="1" t="str">
        <f>IF(TRIM(sales_dataset[[#This Row],[CustomerName]])="",sales_dataset!F278, PROPER(TRIM(sales_dataset[[#This Row],[CustomerName]])))</f>
        <v>Priya</v>
      </c>
      <c r="F272" s="1" t="str">
        <f>IF(TRIM(sales_dataset[[#This Row],[City]])="", sales_dataset!$H$3, PROPER(TRIM(sales_dataset[[#This Row],[City]])))</f>
        <v>Chennai</v>
      </c>
      <c r="G272" t="str">
        <f>PROPER(sales_dataset[[#This Row],[Region cleaned]])</f>
        <v>South</v>
      </c>
      <c r="H272" t="s">
        <v>318</v>
      </c>
      <c r="I272" t="str">
        <f>IF(TRIM(sales_dataset[[#This Row],[SalespersonName]])="",I275,PROPER(TRIM(sales_dataset[[#This Row],[SalespersonName]])))</f>
        <v>Megha</v>
      </c>
      <c r="J272" s="1" t="s">
        <v>624</v>
      </c>
      <c r="K272" s="1" t="str">
        <f>PROPER(sales_dataset[[#This Row],[ProductCategory cleaned]])</f>
        <v>Home</v>
      </c>
      <c r="L272" s="1" t="str">
        <f>PROPER(sales_dataset[[#This Row],[ProductName]])</f>
        <v>Tv</v>
      </c>
      <c r="M272">
        <f>ABS(sales_dataset!W:W)</f>
        <v>1</v>
      </c>
      <c r="N272">
        <f>ABS(sales_dataset[[#This Row],[Column4]])</f>
        <v>500</v>
      </c>
      <c r="O272">
        <f t="shared" si="4"/>
        <v>500</v>
      </c>
    </row>
    <row r="273" spans="1:15" x14ac:dyDescent="0.3">
      <c r="A273" s="1" t="s">
        <v>625</v>
      </c>
      <c r="B273" s="2">
        <v>45549</v>
      </c>
      <c r="C273" s="1" t="str">
        <f>IF(TRIM(sales_dataset[[#This Row],[SalesChannel]])="",sales_dataset!C274,PROPER(TRIM(sales_dataset[[#This Row],[SalesChannel]])))</f>
        <v>Offline</v>
      </c>
      <c r="D273" s="1" t="s">
        <v>217</v>
      </c>
      <c r="E273" s="1" t="str">
        <f>IF(TRIM(sales_dataset[[#This Row],[CustomerName]])="",sales_dataset!F279, PROPER(TRIM(sales_dataset[[#This Row],[CustomerName]])))</f>
        <v>Priya</v>
      </c>
      <c r="F273" s="1" t="str">
        <f>IF(TRIM(sales_dataset[[#This Row],[City]])="", sales_dataset!$H$3, PROPER(TRIM(sales_dataset[[#This Row],[City]])))</f>
        <v>Mumbai</v>
      </c>
      <c r="G273" t="str">
        <f>PROPER(sales_dataset[[#This Row],[Region cleaned]])</f>
        <v>West</v>
      </c>
      <c r="H273" t="s">
        <v>343</v>
      </c>
      <c r="I273" t="str">
        <f>IF(TRIM(sales_dataset[[#This Row],[SalespersonName]])="",I276,PROPER(TRIM(sales_dataset[[#This Row],[SalespersonName]])))</f>
        <v>Megha</v>
      </c>
      <c r="J273" s="1" t="s">
        <v>609</v>
      </c>
      <c r="K273" s="1" t="str">
        <f>PROPER(sales_dataset[[#This Row],[ProductCategory cleaned]])</f>
        <v>Home</v>
      </c>
      <c r="L273" s="1" t="str">
        <f>PROPER(sales_dataset[[#This Row],[ProductName]])</f>
        <v>Watch</v>
      </c>
      <c r="M273">
        <f>ABS(sales_dataset!W:W)</f>
        <v>4</v>
      </c>
      <c r="N273">
        <f>ABS(sales_dataset[[#This Row],[Column4]])</f>
        <v>1500</v>
      </c>
      <c r="O273">
        <f t="shared" si="4"/>
        <v>6000</v>
      </c>
    </row>
    <row r="274" spans="1:15" x14ac:dyDescent="0.3">
      <c r="A274" s="1" t="s">
        <v>626</v>
      </c>
      <c r="B274" s="2">
        <v>45563</v>
      </c>
      <c r="C274" s="1" t="str">
        <f>IF(TRIM(sales_dataset[[#This Row],[SalesChannel]])="",sales_dataset!C275,PROPER(TRIM(sales_dataset[[#This Row],[SalesChannel]])))</f>
        <v>Store</v>
      </c>
      <c r="D274" s="1" t="s">
        <v>158</v>
      </c>
      <c r="E274" s="1" t="str">
        <f>IF(TRIM(sales_dataset[[#This Row],[CustomerName]])="",sales_dataset!F280, PROPER(TRIM(sales_dataset[[#This Row],[CustomerName]])))</f>
        <v>Sara</v>
      </c>
      <c r="F274" s="1" t="str">
        <f>IF(TRIM(sales_dataset[[#This Row],[City]])="", sales_dataset!$H$3, PROPER(TRIM(sales_dataset[[#This Row],[City]])))</f>
        <v>Chennai</v>
      </c>
      <c r="G274" t="str">
        <f>PROPER(sales_dataset[[#This Row],[Region cleaned]])</f>
        <v>South</v>
      </c>
      <c r="H274" t="s">
        <v>218</v>
      </c>
      <c r="I274" t="str">
        <f>IF(TRIM(sales_dataset[[#This Row],[SalespersonName]])="",I277,PROPER(TRIM(sales_dataset[[#This Row],[SalespersonName]])))</f>
        <v>Megha</v>
      </c>
      <c r="J274" s="1" t="s">
        <v>49</v>
      </c>
      <c r="K274" s="1" t="str">
        <f>PROPER(sales_dataset[[#This Row],[ProductCategory cleaned]])</f>
        <v>Clothing</v>
      </c>
      <c r="L274" s="1" t="str">
        <f>PROPER(sales_dataset[[#This Row],[ProductName]])</f>
        <v/>
      </c>
      <c r="M274">
        <f>ABS(sales_dataset!W:W)</f>
        <v>1</v>
      </c>
      <c r="N274">
        <f>ABS(sales_dataset[[#This Row],[Column4]])</f>
        <v>2000</v>
      </c>
      <c r="O274">
        <f t="shared" si="4"/>
        <v>2000</v>
      </c>
    </row>
    <row r="275" spans="1:15" x14ac:dyDescent="0.3">
      <c r="A275" s="1" t="s">
        <v>627</v>
      </c>
      <c r="B275" s="2">
        <v>45372</v>
      </c>
      <c r="C275" s="1" t="str">
        <f>IF(TRIM(sales_dataset[[#This Row],[SalesChannel]])="",sales_dataset!C276,PROPER(TRIM(sales_dataset[[#This Row],[SalesChannel]])))</f>
        <v>Store</v>
      </c>
      <c r="D275" s="1" t="s">
        <v>281</v>
      </c>
      <c r="E275" s="1" t="str">
        <f>IF(TRIM(sales_dataset[[#This Row],[CustomerName]])="",sales_dataset!F281, PROPER(TRIM(sales_dataset[[#This Row],[CustomerName]])))</f>
        <v>Amit</v>
      </c>
      <c r="F275" s="1" t="str">
        <f>IF(TRIM(sales_dataset[[#This Row],[City]])="", sales_dataset!$H$3, PROPER(TRIM(sales_dataset[[#This Row],[City]])))</f>
        <v>Delhi</v>
      </c>
      <c r="G275" t="str">
        <f>PROPER(sales_dataset[[#This Row],[Region cleaned]])</f>
        <v>East</v>
      </c>
      <c r="H275" t="s">
        <v>29</v>
      </c>
      <c r="I275" t="str">
        <f>IF(TRIM(sales_dataset[[#This Row],[SalespersonName]])="",I278,PROPER(TRIM(sales_dataset[[#This Row],[SalespersonName]])))</f>
        <v>Sam</v>
      </c>
      <c r="J275" s="1" t="s">
        <v>204</v>
      </c>
      <c r="K275" s="1" t="str">
        <f>PROPER(sales_dataset[[#This Row],[ProductCategory cleaned]])</f>
        <v>Electronics</v>
      </c>
      <c r="L275" s="1" t="str">
        <f>PROPER(sales_dataset[[#This Row],[ProductName]])</f>
        <v>Laptop</v>
      </c>
      <c r="M275">
        <f>ABS(sales_dataset!W:W)</f>
        <v>4</v>
      </c>
      <c r="N275">
        <f>ABS(sales_dataset[[#This Row],[Column4]])</f>
        <v>0</v>
      </c>
      <c r="O275">
        <f t="shared" si="4"/>
        <v>0</v>
      </c>
    </row>
    <row r="276" spans="1:15" x14ac:dyDescent="0.3">
      <c r="A276" s="1" t="s">
        <v>628</v>
      </c>
      <c r="B276" s="2">
        <v>45321</v>
      </c>
      <c r="C276" s="1" t="str">
        <f>IF(TRIM(sales_dataset[[#This Row],[SalesChannel]])="",sales_dataset!C277,PROPER(TRIM(sales_dataset[[#This Row],[SalesChannel]])))</f>
        <v>Online</v>
      </c>
      <c r="D276" s="1" t="s">
        <v>548</v>
      </c>
      <c r="E276" s="1" t="str">
        <f>IF(TRIM(sales_dataset[[#This Row],[CustomerName]])="",sales_dataset!F282, PROPER(TRIM(sales_dataset[[#This Row],[CustomerName]])))</f>
        <v>Priya</v>
      </c>
      <c r="F276" s="1" t="str">
        <f>IF(TRIM(sales_dataset[[#This Row],[City]])="", sales_dataset!$H$3, PROPER(TRIM(sales_dataset[[#This Row],[City]])))</f>
        <v>Delhi</v>
      </c>
      <c r="G276" t="str">
        <f>PROPER(sales_dataset[[#This Row],[Region cleaned]])</f>
        <v>West</v>
      </c>
      <c r="H276" t="s">
        <v>215</v>
      </c>
      <c r="I276" t="str">
        <f>IF(TRIM(sales_dataset[[#This Row],[SalespersonName]])="",I279,PROPER(TRIM(sales_dataset[[#This Row],[SalespersonName]])))</f>
        <v>Sam</v>
      </c>
      <c r="J276" s="1" t="s">
        <v>49</v>
      </c>
      <c r="K276" s="1" t="str">
        <f>PROPER(sales_dataset[[#This Row],[ProductCategory cleaned]])</f>
        <v>Electronics</v>
      </c>
      <c r="L276" s="1" t="str">
        <f>PROPER(sales_dataset[[#This Row],[ProductName]])</f>
        <v>Tv</v>
      </c>
      <c r="M276">
        <f>ABS(sales_dataset!W:W)</f>
        <v>0</v>
      </c>
      <c r="N276">
        <f>ABS(sales_dataset[[#This Row],[Column4]])</f>
        <v>500</v>
      </c>
      <c r="O276">
        <f t="shared" si="4"/>
        <v>0</v>
      </c>
    </row>
    <row r="277" spans="1:15" x14ac:dyDescent="0.3">
      <c r="A277" s="1" t="s">
        <v>629</v>
      </c>
      <c r="B277" s="2">
        <v>45552</v>
      </c>
      <c r="C277" s="1" t="str">
        <f>IF(TRIM(sales_dataset[[#This Row],[SalesChannel]])="",sales_dataset!C278,PROPER(TRIM(sales_dataset[[#This Row],[SalesChannel]])))</f>
        <v>Online</v>
      </c>
      <c r="D277" s="1" t="s">
        <v>106</v>
      </c>
      <c r="E277" s="1" t="str">
        <f>IF(TRIM(sales_dataset[[#This Row],[CustomerName]])="",sales_dataset!F283, PROPER(TRIM(sales_dataset[[#This Row],[CustomerName]])))</f>
        <v>John</v>
      </c>
      <c r="F277" s="1" t="str">
        <f>IF(TRIM(sales_dataset[[#This Row],[City]])="", sales_dataset!$H$3, PROPER(TRIM(sales_dataset[[#This Row],[City]])))</f>
        <v>Chennai</v>
      </c>
      <c r="G277" t="str">
        <f>PROPER(sales_dataset[[#This Row],[Region cleaned]])</f>
        <v>East</v>
      </c>
      <c r="H277" t="s">
        <v>427</v>
      </c>
      <c r="I277" t="str">
        <f>IF(TRIM(sales_dataset[[#This Row],[SalespersonName]])="",I280,PROPER(TRIM(sales_dataset[[#This Row],[SalespersonName]])))</f>
        <v>Kevin</v>
      </c>
      <c r="J277" s="1" t="s">
        <v>265</v>
      </c>
      <c r="K277" s="1" t="str">
        <f>PROPER(sales_dataset[[#This Row],[ProductCategory cleaned]])</f>
        <v>Electronics</v>
      </c>
      <c r="L277" s="1" t="str">
        <f>PROPER(sales_dataset[[#This Row],[ProductName]])</f>
        <v>Shirt</v>
      </c>
      <c r="M277">
        <f>ABS(sales_dataset!W:W)</f>
        <v>1</v>
      </c>
      <c r="N277">
        <f>ABS(sales_dataset[[#This Row],[Column4]])</f>
        <v>2000</v>
      </c>
      <c r="O277">
        <f t="shared" si="4"/>
        <v>2000</v>
      </c>
    </row>
    <row r="278" spans="1:15" x14ac:dyDescent="0.3">
      <c r="A278" s="1" t="s">
        <v>630</v>
      </c>
      <c r="B278" s="2">
        <v>45333</v>
      </c>
      <c r="C278" s="1" t="str">
        <f>IF(TRIM(sales_dataset[[#This Row],[SalesChannel]])="",sales_dataset!C279,PROPER(TRIM(sales_dataset[[#This Row],[SalesChannel]])))</f>
        <v>Online</v>
      </c>
      <c r="D278" s="1" t="s">
        <v>415</v>
      </c>
      <c r="E278" s="1" t="str">
        <f>IF(TRIM(sales_dataset[[#This Row],[CustomerName]])="",sales_dataset!F284, PROPER(TRIM(sales_dataset[[#This Row],[CustomerName]])))</f>
        <v>Sara</v>
      </c>
      <c r="F278" s="1" t="str">
        <f>IF(TRIM(sales_dataset[[#This Row],[City]])="", sales_dataset!$H$3, PROPER(TRIM(sales_dataset[[#This Row],[City]])))</f>
        <v>Hyderabad</v>
      </c>
      <c r="G278" t="str">
        <f>PROPER(sales_dataset[[#This Row],[Region cleaned]])</f>
        <v>West</v>
      </c>
      <c r="H278" t="s">
        <v>237</v>
      </c>
      <c r="I278" t="str">
        <f>IF(TRIM(sales_dataset[[#This Row],[SalespersonName]])="",I281,PROPER(TRIM(sales_dataset[[#This Row],[SalespersonName]])))</f>
        <v>Kevin</v>
      </c>
      <c r="J278" s="1" t="s">
        <v>251</v>
      </c>
      <c r="K278" s="1" t="str">
        <f>PROPER(sales_dataset[[#This Row],[ProductCategory cleaned]])</f>
        <v>Home</v>
      </c>
      <c r="L278" s="1" t="str">
        <f>PROPER(sales_dataset[[#This Row],[ProductName]])</f>
        <v>Shirt</v>
      </c>
      <c r="M278">
        <f>ABS(sales_dataset!W:W)</f>
        <v>2</v>
      </c>
      <c r="N278">
        <f>ABS(sales_dataset[[#This Row],[Column4]])</f>
        <v>1500</v>
      </c>
      <c r="O278">
        <f t="shared" si="4"/>
        <v>3000</v>
      </c>
    </row>
    <row r="279" spans="1:15" x14ac:dyDescent="0.3">
      <c r="A279" s="1" t="s">
        <v>631</v>
      </c>
      <c r="B279" s="2">
        <v>45387</v>
      </c>
      <c r="C279" s="1" t="str">
        <f>IF(TRIM(sales_dataset[[#This Row],[SalesChannel]])="",sales_dataset!C280,PROPER(TRIM(sales_dataset[[#This Row],[SalesChannel]])))</f>
        <v>Offline</v>
      </c>
      <c r="D279" s="1" t="s">
        <v>217</v>
      </c>
      <c r="E279" s="1" t="str">
        <f>IF(TRIM(sales_dataset[[#This Row],[CustomerName]])="",sales_dataset!F285, PROPER(TRIM(sales_dataset[[#This Row],[CustomerName]])))</f>
        <v>Priya</v>
      </c>
      <c r="F279" s="1" t="str">
        <f>IF(TRIM(sales_dataset[[#This Row],[City]])="", sales_dataset!$H$3, PROPER(TRIM(sales_dataset[[#This Row],[City]])))</f>
        <v>Mumbai</v>
      </c>
      <c r="G279" t="str">
        <f>PROPER(sales_dataset[[#This Row],[Region cleaned]])</f>
        <v>North</v>
      </c>
      <c r="H279" t="s">
        <v>227</v>
      </c>
      <c r="I279" t="str">
        <f>IF(TRIM(sales_dataset[[#This Row],[SalespersonName]])="",I282,PROPER(TRIM(sales_dataset[[#This Row],[SalespersonName]])))</f>
        <v>Kevin</v>
      </c>
      <c r="J279" s="1" t="s">
        <v>598</v>
      </c>
      <c r="K279" s="1" t="str">
        <f>PROPER(sales_dataset[[#This Row],[ProductCategory cleaned]])</f>
        <v>Electronics</v>
      </c>
      <c r="L279" s="1" t="str">
        <f>PROPER(sales_dataset[[#This Row],[ProductName]])</f>
        <v>Watch</v>
      </c>
      <c r="M279">
        <f>ABS(sales_dataset!W:W)</f>
        <v>1</v>
      </c>
      <c r="N279">
        <f>ABS(sales_dataset[[#This Row],[Column4]])</f>
        <v>2000</v>
      </c>
      <c r="O279">
        <f t="shared" si="4"/>
        <v>2000</v>
      </c>
    </row>
    <row r="280" spans="1:15" x14ac:dyDescent="0.3">
      <c r="A280" s="1" t="s">
        <v>632</v>
      </c>
      <c r="B280" s="2">
        <v>45327</v>
      </c>
      <c r="C280" s="1" t="str">
        <f>IF(TRIM(sales_dataset[[#This Row],[SalesChannel]])="",sales_dataset!C281,PROPER(TRIM(sales_dataset[[#This Row],[SalesChannel]])))</f>
        <v>Store</v>
      </c>
      <c r="D280" s="1" t="s">
        <v>26</v>
      </c>
      <c r="E280" s="1" t="str">
        <f>IF(TRIM(sales_dataset[[#This Row],[CustomerName]])="",sales_dataset!F286, PROPER(TRIM(sales_dataset[[#This Row],[CustomerName]])))</f>
        <v>Sara</v>
      </c>
      <c r="F280" s="1" t="str">
        <f>IF(TRIM(sales_dataset[[#This Row],[City]])="", sales_dataset!$H$3, PROPER(TRIM(sales_dataset[[#This Row],[City]])))</f>
        <v>Delhi</v>
      </c>
      <c r="G280" t="str">
        <f>PROPER(sales_dataset[[#This Row],[Region cleaned]])</f>
        <v>North</v>
      </c>
      <c r="H280" t="s">
        <v>20</v>
      </c>
      <c r="I280" t="str">
        <f>IF(TRIM(sales_dataset[[#This Row],[SalespersonName]])="",I283,PROPER(TRIM(sales_dataset[[#This Row],[SalespersonName]])))</f>
        <v>Anita</v>
      </c>
      <c r="J280" s="1" t="s">
        <v>370</v>
      </c>
      <c r="K280" s="1" t="str">
        <f>PROPER(sales_dataset[[#This Row],[ProductCategory cleaned]])</f>
        <v>Clothing</v>
      </c>
      <c r="L280" s="1" t="str">
        <f>PROPER(sales_dataset[[#This Row],[ProductName]])</f>
        <v>Sofa</v>
      </c>
      <c r="M280">
        <f>ABS(sales_dataset!W:W)</f>
        <v>2</v>
      </c>
      <c r="N280">
        <f>ABS(sales_dataset[[#This Row],[Column4]])</f>
        <v>2500</v>
      </c>
      <c r="O280">
        <f t="shared" si="4"/>
        <v>5000</v>
      </c>
    </row>
    <row r="281" spans="1:15" x14ac:dyDescent="0.3">
      <c r="A281" s="1" t="s">
        <v>633</v>
      </c>
      <c r="B281" s="2">
        <v>45326</v>
      </c>
      <c r="C281" s="1" t="str">
        <f>IF(TRIM(sales_dataset[[#This Row],[SalesChannel]])="",sales_dataset!C282,PROPER(TRIM(sales_dataset[[#This Row],[SalesChannel]])))</f>
        <v>Store</v>
      </c>
      <c r="D281" s="1" t="s">
        <v>183</v>
      </c>
      <c r="E281" s="1" t="str">
        <f>IF(TRIM(sales_dataset[[#This Row],[CustomerName]])="",sales_dataset!F287, PROPER(TRIM(sales_dataset[[#This Row],[CustomerName]])))</f>
        <v>Amit</v>
      </c>
      <c r="F281" s="1" t="str">
        <f>IF(TRIM(sales_dataset[[#This Row],[City]])="", sales_dataset!$H$3, PROPER(TRIM(sales_dataset[[#This Row],[City]])))</f>
        <v>Hyderabad</v>
      </c>
      <c r="G281" t="str">
        <f>PROPER(sales_dataset[[#This Row],[Region cleaned]])</f>
        <v>East</v>
      </c>
      <c r="H281" t="s">
        <v>119</v>
      </c>
      <c r="I281" t="str">
        <f>IF(TRIM(sales_dataset[[#This Row],[SalespersonName]])="",I284,PROPER(TRIM(sales_dataset[[#This Row],[SalespersonName]])))</f>
        <v>Raj</v>
      </c>
      <c r="J281" s="1" t="s">
        <v>104</v>
      </c>
      <c r="K281" s="1" t="str">
        <f>PROPER(sales_dataset[[#This Row],[ProductCategory cleaned]])</f>
        <v>Electronics</v>
      </c>
      <c r="L281" s="1" t="str">
        <f>PROPER(sales_dataset[[#This Row],[ProductName]])</f>
        <v>Laptop</v>
      </c>
      <c r="M281">
        <f>ABS(sales_dataset!W:W)</f>
        <v>4</v>
      </c>
      <c r="N281">
        <f>ABS(sales_dataset[[#This Row],[Column4]])</f>
        <v>2500</v>
      </c>
      <c r="O281">
        <f t="shared" si="4"/>
        <v>10000</v>
      </c>
    </row>
    <row r="282" spans="1:15" x14ac:dyDescent="0.3">
      <c r="A282" s="1" t="s">
        <v>634</v>
      </c>
      <c r="B282" s="2">
        <v>45412</v>
      </c>
      <c r="C282" s="1" t="str">
        <f>IF(TRIM(sales_dataset[[#This Row],[SalesChannel]])="",sales_dataset!C283,PROPER(TRIM(sales_dataset[[#This Row],[SalesChannel]])))</f>
        <v>Online</v>
      </c>
      <c r="D282" s="1" t="s">
        <v>541</v>
      </c>
      <c r="E282" s="1" t="str">
        <f>IF(TRIM(sales_dataset[[#This Row],[CustomerName]])="",sales_dataset!F288, PROPER(TRIM(sales_dataset[[#This Row],[CustomerName]])))</f>
        <v>John</v>
      </c>
      <c r="F282" s="1" t="str">
        <f>IF(TRIM(sales_dataset[[#This Row],[City]])="", sales_dataset!$H$3, PROPER(TRIM(sales_dataset[[#This Row],[City]])))</f>
        <v>Hyderabad</v>
      </c>
      <c r="G282" t="str">
        <f>PROPER(sales_dataset[[#This Row],[Region cleaned]])</f>
        <v>North</v>
      </c>
      <c r="H282" t="s">
        <v>111</v>
      </c>
      <c r="I282" t="str">
        <f>IF(TRIM(sales_dataset[[#This Row],[SalespersonName]])="",I285,PROPER(TRIM(sales_dataset[[#This Row],[SalespersonName]])))</f>
        <v>Kevin</v>
      </c>
      <c r="J282" s="1" t="s">
        <v>49</v>
      </c>
      <c r="K282" s="1" t="str">
        <f>PROPER(sales_dataset[[#This Row],[ProductCategory cleaned]])</f>
        <v>Electronics</v>
      </c>
      <c r="L282" s="1" t="str">
        <f>PROPER(sales_dataset[[#This Row],[ProductName]])</f>
        <v/>
      </c>
      <c r="M282">
        <f>ABS(sales_dataset!W:W)</f>
        <v>5</v>
      </c>
      <c r="N282">
        <f>ABS(sales_dataset[[#This Row],[Column4]])</f>
        <v>2500</v>
      </c>
      <c r="O282">
        <f t="shared" si="4"/>
        <v>12500</v>
      </c>
    </row>
    <row r="283" spans="1:15" x14ac:dyDescent="0.3">
      <c r="A283" s="1" t="s">
        <v>635</v>
      </c>
      <c r="B283" s="2">
        <v>45498</v>
      </c>
      <c r="C283" s="1" t="str">
        <f>IF(TRIM(sales_dataset[[#This Row],[SalesChannel]])="",sales_dataset!C284,PROPER(TRIM(sales_dataset[[#This Row],[SalesChannel]])))</f>
        <v>Online</v>
      </c>
      <c r="D283" s="1" t="s">
        <v>230</v>
      </c>
      <c r="E283" s="1" t="str">
        <f>IF(TRIM(sales_dataset[[#This Row],[CustomerName]])="",sales_dataset!F289, PROPER(TRIM(sales_dataset[[#This Row],[CustomerName]])))</f>
        <v>Sara</v>
      </c>
      <c r="F283" s="1" t="str">
        <f>IF(TRIM(sales_dataset[[#This Row],[City]])="", sales_dataset!$H$3, PROPER(TRIM(sales_dataset[[#This Row],[City]])))</f>
        <v>Delhi</v>
      </c>
      <c r="G283" t="str">
        <f>PROPER(sales_dataset[[#This Row],[Region cleaned]])</f>
        <v>West</v>
      </c>
      <c r="H283" t="s">
        <v>212</v>
      </c>
      <c r="I283" t="str">
        <f>IF(TRIM(sales_dataset[[#This Row],[SalespersonName]])="",I286,PROPER(TRIM(sales_dataset[[#This Row],[SalespersonName]])))</f>
        <v>Anita</v>
      </c>
      <c r="J283" s="1" t="s">
        <v>452</v>
      </c>
      <c r="K283" s="1" t="str">
        <f>PROPER(sales_dataset[[#This Row],[ProductCategory cleaned]])</f>
        <v>Electronics</v>
      </c>
      <c r="L283" s="1" t="str">
        <f>PROPER(sales_dataset[[#This Row],[ProductName]])</f>
        <v/>
      </c>
      <c r="M283">
        <f>ABS(sales_dataset!W:W)</f>
        <v>1</v>
      </c>
      <c r="N283">
        <f>ABS(sales_dataset[[#This Row],[Column4]])</f>
        <v>100</v>
      </c>
      <c r="O283">
        <f t="shared" si="4"/>
        <v>100</v>
      </c>
    </row>
    <row r="284" spans="1:15" x14ac:dyDescent="0.3">
      <c r="A284" s="1" t="s">
        <v>636</v>
      </c>
      <c r="B284" s="2">
        <v>45353</v>
      </c>
      <c r="C284" s="1" t="str">
        <f>IF(TRIM(sales_dataset[[#This Row],[SalesChannel]])="",sales_dataset!C285,PROPER(TRIM(sales_dataset[[#This Row],[SalesChannel]])))</f>
        <v>Online</v>
      </c>
      <c r="D284" s="1" t="s">
        <v>548</v>
      </c>
      <c r="E284" s="1" t="str">
        <f>IF(TRIM(sales_dataset[[#This Row],[CustomerName]])="",sales_dataset!F290, PROPER(TRIM(sales_dataset[[#This Row],[CustomerName]])))</f>
        <v>David</v>
      </c>
      <c r="F284" s="1" t="str">
        <f>IF(TRIM(sales_dataset[[#This Row],[City]])="", sales_dataset!$H$3, PROPER(TRIM(sales_dataset[[#This Row],[City]])))</f>
        <v>Mumbai</v>
      </c>
      <c r="G284" t="str">
        <f>PROPER(sales_dataset[[#This Row],[Region cleaned]])</f>
        <v>East</v>
      </c>
      <c r="H284" t="s">
        <v>218</v>
      </c>
      <c r="I284" t="str">
        <f>IF(TRIM(sales_dataset[[#This Row],[SalespersonName]])="",I287,PROPER(TRIM(sales_dataset[[#This Row],[SalespersonName]])))</f>
        <v>Anita</v>
      </c>
      <c r="J284" s="1" t="s">
        <v>159</v>
      </c>
      <c r="K284" s="1" t="str">
        <f>PROPER(sales_dataset[[#This Row],[ProductCategory cleaned]])</f>
        <v>Clothing</v>
      </c>
      <c r="L284" s="1" t="str">
        <f>PROPER(sales_dataset[[#This Row],[ProductName]])</f>
        <v>Watch</v>
      </c>
      <c r="M284">
        <f>ABS(sales_dataset!W:W)</f>
        <v>1</v>
      </c>
      <c r="N284">
        <f>ABS(sales_dataset[[#This Row],[Column4]])</f>
        <v>2500</v>
      </c>
      <c r="O284">
        <f t="shared" si="4"/>
        <v>2500</v>
      </c>
    </row>
    <row r="285" spans="1:15" x14ac:dyDescent="0.3">
      <c r="A285" s="1" t="s">
        <v>637</v>
      </c>
      <c r="B285" s="2">
        <v>45583</v>
      </c>
      <c r="C285" s="1" t="str">
        <f>IF(TRIM(sales_dataset[[#This Row],[SalesChannel]])="",sales_dataset!C286,PROPER(TRIM(sales_dataset[[#This Row],[SalesChannel]])))</f>
        <v>Offline</v>
      </c>
      <c r="D285" s="1" t="s">
        <v>172</v>
      </c>
      <c r="E285" s="1" t="str">
        <f>IF(TRIM(sales_dataset[[#This Row],[CustomerName]])="",sales_dataset!F291, PROPER(TRIM(sales_dataset[[#This Row],[CustomerName]])))</f>
        <v>Priya</v>
      </c>
      <c r="F285" s="1" t="str">
        <f>IF(TRIM(sales_dataset[[#This Row],[City]])="", sales_dataset!$H$3, PROPER(TRIM(sales_dataset[[#This Row],[City]])))</f>
        <v>Delhi</v>
      </c>
      <c r="G285" t="str">
        <f>PROPER(sales_dataset[[#This Row],[Region cleaned]])</f>
        <v>North</v>
      </c>
      <c r="H285" t="s">
        <v>218</v>
      </c>
      <c r="I285" t="str">
        <f>IF(TRIM(sales_dataset[[#This Row],[SalespersonName]])="",I288,PROPER(TRIM(sales_dataset[[#This Row],[SalespersonName]])))</f>
        <v>Sam</v>
      </c>
      <c r="J285" s="1" t="s">
        <v>221</v>
      </c>
      <c r="K285" s="1" t="str">
        <f>PROPER(sales_dataset[[#This Row],[ProductCategory cleaned]])</f>
        <v>Electronics</v>
      </c>
      <c r="L285" s="1" t="str">
        <f>PROPER(sales_dataset[[#This Row],[ProductName]])</f>
        <v>Watch</v>
      </c>
      <c r="M285">
        <f>ABS(sales_dataset!W:W)</f>
        <v>2</v>
      </c>
      <c r="N285">
        <f>ABS(sales_dataset[[#This Row],[Column4]])</f>
        <v>2500</v>
      </c>
      <c r="O285">
        <f t="shared" si="4"/>
        <v>5000</v>
      </c>
    </row>
    <row r="286" spans="1:15" x14ac:dyDescent="0.3">
      <c r="A286" s="1" t="s">
        <v>638</v>
      </c>
      <c r="B286" s="2">
        <v>45418</v>
      </c>
      <c r="C286" s="1" t="str">
        <f>IF(TRIM(sales_dataset[[#This Row],[SalesChannel]])="",sales_dataset!C287,PROPER(TRIM(sales_dataset[[#This Row],[SalesChannel]])))</f>
        <v>Store</v>
      </c>
      <c r="D286" s="1" t="s">
        <v>431</v>
      </c>
      <c r="E286" s="1" t="str">
        <f>IF(TRIM(sales_dataset[[#This Row],[CustomerName]])="",sales_dataset!F292, PROPER(TRIM(sales_dataset[[#This Row],[CustomerName]])))</f>
        <v>David</v>
      </c>
      <c r="F286" s="1" t="str">
        <f>IF(TRIM(sales_dataset[[#This Row],[City]])="", sales_dataset!$H$3, PROPER(TRIM(sales_dataset[[#This Row],[City]])))</f>
        <v>Bengaluru</v>
      </c>
      <c r="G286" t="str">
        <f>PROPER(sales_dataset[[#This Row],[Region cleaned]])</f>
        <v>North</v>
      </c>
      <c r="H286" t="s">
        <v>212</v>
      </c>
      <c r="I286" t="str">
        <f>IF(TRIM(sales_dataset[[#This Row],[SalespersonName]])="",I289,PROPER(TRIM(sales_dataset[[#This Row],[SalespersonName]])))</f>
        <v>Megha</v>
      </c>
      <c r="J286" s="1" t="s">
        <v>399</v>
      </c>
      <c r="K286" s="1" t="str">
        <f>PROPER(sales_dataset[[#This Row],[ProductCategory cleaned]])</f>
        <v>Electronics</v>
      </c>
      <c r="L286" s="1" t="str">
        <f>PROPER(sales_dataset[[#This Row],[ProductName]])</f>
        <v>Tv</v>
      </c>
      <c r="M286">
        <f>ABS(sales_dataset!W:W)</f>
        <v>1</v>
      </c>
      <c r="N286">
        <f>ABS(sales_dataset[[#This Row],[Column4]])</f>
        <v>2000</v>
      </c>
      <c r="O286">
        <f t="shared" si="4"/>
        <v>2000</v>
      </c>
    </row>
    <row r="287" spans="1:15" x14ac:dyDescent="0.3">
      <c r="A287" s="1" t="s">
        <v>639</v>
      </c>
      <c r="B287" s="2">
        <v>45588</v>
      </c>
      <c r="C287" s="1" t="str">
        <f>IF(TRIM(sales_dataset[[#This Row],[SalesChannel]])="",sales_dataset!C288,PROPER(TRIM(sales_dataset[[#This Row],[SalesChannel]])))</f>
        <v>Store</v>
      </c>
      <c r="D287" s="1" t="s">
        <v>640</v>
      </c>
      <c r="E287" s="1" t="str">
        <f>IF(TRIM(sales_dataset[[#This Row],[CustomerName]])="",sales_dataset!F293, PROPER(TRIM(sales_dataset[[#This Row],[CustomerName]])))</f>
        <v>Priya</v>
      </c>
      <c r="F287" s="1" t="str">
        <f>IF(TRIM(sales_dataset[[#This Row],[City]])="", sales_dataset!$H$3, PROPER(TRIM(sales_dataset[[#This Row],[City]])))</f>
        <v>Mumbai</v>
      </c>
      <c r="G287" t="str">
        <f>PROPER(sales_dataset[[#This Row],[Region cleaned]])</f>
        <v>North</v>
      </c>
      <c r="H287" t="s">
        <v>136</v>
      </c>
      <c r="I287" t="str">
        <f>IF(TRIM(sales_dataset[[#This Row],[SalespersonName]])="",I290,PROPER(TRIM(sales_dataset[[#This Row],[SalespersonName]])))</f>
        <v>Anita</v>
      </c>
      <c r="J287" s="1" t="s">
        <v>580</v>
      </c>
      <c r="K287" s="1" t="str">
        <f>PROPER(sales_dataset[[#This Row],[ProductCategory cleaned]])</f>
        <v>Electronics</v>
      </c>
      <c r="L287" s="1" t="str">
        <f>PROPER(sales_dataset[[#This Row],[ProductName]])</f>
        <v>Laptop</v>
      </c>
      <c r="M287">
        <f>ABS(sales_dataset!W:W)</f>
        <v>4</v>
      </c>
      <c r="N287">
        <f>ABS(sales_dataset[[#This Row],[Column4]])</f>
        <v>500</v>
      </c>
      <c r="O287">
        <f t="shared" si="4"/>
        <v>2000</v>
      </c>
    </row>
    <row r="288" spans="1:15" x14ac:dyDescent="0.3">
      <c r="A288" s="1" t="s">
        <v>641</v>
      </c>
      <c r="B288" s="2">
        <v>45312</v>
      </c>
      <c r="C288" s="1" t="str">
        <f>IF(TRIM(sales_dataset[[#This Row],[SalesChannel]])="",sales_dataset!C289,PROPER(TRIM(sales_dataset[[#This Row],[SalesChannel]])))</f>
        <v>Online</v>
      </c>
      <c r="D288" s="1" t="s">
        <v>642</v>
      </c>
      <c r="E288" s="1" t="str">
        <f>IF(TRIM(sales_dataset[[#This Row],[CustomerName]])="",sales_dataset!F294, PROPER(TRIM(sales_dataset[[#This Row],[CustomerName]])))</f>
        <v>Priya</v>
      </c>
      <c r="F288" s="1" t="str">
        <f>IF(TRIM(sales_dataset[[#This Row],[City]])="", sales_dataset!$H$3, PROPER(TRIM(sales_dataset[[#This Row],[City]])))</f>
        <v>Chennai</v>
      </c>
      <c r="G288" t="str">
        <f>PROPER(sales_dataset[[#This Row],[Region cleaned]])</f>
        <v>West</v>
      </c>
      <c r="H288" t="s">
        <v>140</v>
      </c>
      <c r="I288" t="str">
        <f>IF(TRIM(sales_dataset[[#This Row],[SalespersonName]])="",I291,PROPER(TRIM(sales_dataset[[#This Row],[SalespersonName]])))</f>
        <v>Megha</v>
      </c>
      <c r="J288" s="1" t="s">
        <v>265</v>
      </c>
      <c r="K288" s="1" t="str">
        <f>PROPER(sales_dataset[[#This Row],[ProductCategory cleaned]])</f>
        <v>Clothing</v>
      </c>
      <c r="L288" s="1" t="str">
        <f>PROPER(sales_dataset[[#This Row],[ProductName]])</f>
        <v>Laptop</v>
      </c>
      <c r="M288">
        <f>ABS(sales_dataset!W:W)</f>
        <v>5</v>
      </c>
      <c r="N288">
        <f>ABS(sales_dataset[[#This Row],[Column4]])</f>
        <v>2500</v>
      </c>
      <c r="O288">
        <f t="shared" si="4"/>
        <v>12500</v>
      </c>
    </row>
    <row r="289" spans="1:15" x14ac:dyDescent="0.3">
      <c r="A289" s="1" t="s">
        <v>643</v>
      </c>
      <c r="B289" s="2">
        <v>45333</v>
      </c>
      <c r="C289" s="1" t="str">
        <f>IF(TRIM(sales_dataset[[#This Row],[SalesChannel]])="",sales_dataset!C290,PROPER(TRIM(sales_dataset[[#This Row],[SalesChannel]])))</f>
        <v>Online</v>
      </c>
      <c r="D289" s="1" t="s">
        <v>78</v>
      </c>
      <c r="E289" s="1" t="str">
        <f>IF(TRIM(sales_dataset[[#This Row],[CustomerName]])="",sales_dataset!F295, PROPER(TRIM(sales_dataset[[#This Row],[CustomerName]])))</f>
        <v>Priya</v>
      </c>
      <c r="F289" s="1" t="str">
        <f>IF(TRIM(sales_dataset[[#This Row],[City]])="", sales_dataset!$H$3, PROPER(TRIM(sales_dataset[[#This Row],[City]])))</f>
        <v>Delhi</v>
      </c>
      <c r="G289" t="str">
        <f>PROPER(sales_dataset[[#This Row],[Region cleaned]])</f>
        <v>East</v>
      </c>
      <c r="H289" t="s">
        <v>99</v>
      </c>
      <c r="I289" t="str">
        <f>IF(TRIM(sales_dataset[[#This Row],[SalespersonName]])="",I292,PROPER(TRIM(sales_dataset[[#This Row],[SalespersonName]])))</f>
        <v>Kevin</v>
      </c>
      <c r="J289" s="1" t="s">
        <v>228</v>
      </c>
      <c r="K289" s="1" t="str">
        <f>PROPER(sales_dataset[[#This Row],[ProductCategory cleaned]])</f>
        <v>Clothing</v>
      </c>
      <c r="L289" s="1" t="str">
        <f>PROPER(sales_dataset[[#This Row],[ProductName]])</f>
        <v/>
      </c>
      <c r="M289">
        <f>ABS(sales_dataset!W:W)</f>
        <v>4</v>
      </c>
      <c r="N289">
        <f>ABS(sales_dataset[[#This Row],[Column4]])</f>
        <v>100</v>
      </c>
      <c r="O289">
        <f t="shared" si="4"/>
        <v>400</v>
      </c>
    </row>
    <row r="290" spans="1:15" x14ac:dyDescent="0.3">
      <c r="A290" s="1" t="s">
        <v>644</v>
      </c>
      <c r="B290" s="2">
        <v>45506</v>
      </c>
      <c r="C290" s="1" t="str">
        <f>IF(TRIM(sales_dataset[[#This Row],[SalesChannel]])="",sales_dataset!C291,PROPER(TRIM(sales_dataset[[#This Row],[SalesChannel]])))</f>
        <v>Online</v>
      </c>
      <c r="D290" s="1" t="s">
        <v>365</v>
      </c>
      <c r="E290" s="1" t="str">
        <f>IF(TRIM(sales_dataset[[#This Row],[CustomerName]])="",sales_dataset!F296, PROPER(TRIM(sales_dataset[[#This Row],[CustomerName]])))</f>
        <v>Amit</v>
      </c>
      <c r="F290" s="1" t="str">
        <f>IF(TRIM(sales_dataset[[#This Row],[City]])="", sales_dataset!$H$3, PROPER(TRIM(sales_dataset[[#This Row],[City]])))</f>
        <v>Mumbai</v>
      </c>
      <c r="G290" t="str">
        <f>PROPER(sales_dataset[[#This Row],[Region cleaned]])</f>
        <v>West</v>
      </c>
      <c r="H290" t="s">
        <v>38</v>
      </c>
      <c r="I290" t="str">
        <f>IF(TRIM(sales_dataset[[#This Row],[SalespersonName]])="",I293,PROPER(TRIM(sales_dataset[[#This Row],[SalespersonName]])))</f>
        <v>Anita</v>
      </c>
      <c r="J290" s="1" t="s">
        <v>137</v>
      </c>
      <c r="K290" s="1" t="str">
        <f>PROPER(sales_dataset[[#This Row],[ProductCategory cleaned]])</f>
        <v>Clothing</v>
      </c>
      <c r="L290" s="1" t="str">
        <f>PROPER(sales_dataset[[#This Row],[ProductName]])</f>
        <v>Laptop</v>
      </c>
      <c r="M290">
        <f>ABS(sales_dataset!W:W)</f>
        <v>1</v>
      </c>
      <c r="N290">
        <f>ABS(sales_dataset[[#This Row],[Column4]])</f>
        <v>500</v>
      </c>
      <c r="O290">
        <f t="shared" si="4"/>
        <v>500</v>
      </c>
    </row>
    <row r="291" spans="1:15" x14ac:dyDescent="0.3">
      <c r="A291" s="1" t="s">
        <v>645</v>
      </c>
      <c r="B291" s="2">
        <v>45590</v>
      </c>
      <c r="C291" s="1" t="str">
        <f>IF(TRIM(sales_dataset[[#This Row],[SalesChannel]])="",sales_dataset!C292,PROPER(TRIM(sales_dataset[[#This Row],[SalesChannel]])))</f>
        <v>Offline</v>
      </c>
      <c r="D291" s="1" t="s">
        <v>264</v>
      </c>
      <c r="E291" s="1" t="str">
        <f>IF(TRIM(sales_dataset[[#This Row],[CustomerName]])="",sales_dataset!F297, PROPER(TRIM(sales_dataset[[#This Row],[CustomerName]])))</f>
        <v/>
      </c>
      <c r="F291" s="1" t="str">
        <f>IF(TRIM(sales_dataset[[#This Row],[City]])="", sales_dataset!$H$3, PROPER(TRIM(sales_dataset[[#This Row],[City]])))</f>
        <v>Mumbai</v>
      </c>
      <c r="G291" t="str">
        <f>PROPER(sales_dataset[[#This Row],[Region cleaned]])</f>
        <v>East</v>
      </c>
      <c r="H291" t="s">
        <v>99</v>
      </c>
      <c r="I291" t="str">
        <f>IF(TRIM(sales_dataset[[#This Row],[SalespersonName]])="",I294,PROPER(TRIM(sales_dataset[[#This Row],[SalespersonName]])))</f>
        <v>Raj</v>
      </c>
      <c r="J291" s="1" t="s">
        <v>201</v>
      </c>
      <c r="K291" s="1" t="str">
        <f>PROPER(sales_dataset[[#This Row],[ProductCategory cleaned]])</f>
        <v>Electronics</v>
      </c>
      <c r="L291" s="1" t="str">
        <f>PROPER(sales_dataset[[#This Row],[ProductName]])</f>
        <v/>
      </c>
      <c r="M291">
        <f>ABS(sales_dataset!W:W)</f>
        <v>5</v>
      </c>
      <c r="N291">
        <f>ABS(sales_dataset[[#This Row],[Column4]])</f>
        <v>100</v>
      </c>
      <c r="O291">
        <f t="shared" si="4"/>
        <v>500</v>
      </c>
    </row>
    <row r="292" spans="1:15" x14ac:dyDescent="0.3">
      <c r="A292" s="1" t="s">
        <v>646</v>
      </c>
      <c r="B292" s="2">
        <v>45581</v>
      </c>
      <c r="C292" s="1" t="str">
        <f>IF(TRIM(sales_dataset[[#This Row],[SalesChannel]])="",sales_dataset!C293,PROPER(TRIM(sales_dataset[[#This Row],[SalesChannel]])))</f>
        <v>Store</v>
      </c>
      <c r="D292" s="1" t="s">
        <v>517</v>
      </c>
      <c r="E292" s="1" t="str">
        <f>IF(TRIM(sales_dataset[[#This Row],[CustomerName]])="",sales_dataset!F298, PROPER(TRIM(sales_dataset[[#This Row],[CustomerName]])))</f>
        <v>Priya</v>
      </c>
      <c r="F292" s="1" t="str">
        <f>IF(TRIM(sales_dataset[[#This Row],[City]])="", sales_dataset!$H$3, PROPER(TRIM(sales_dataset[[#This Row],[City]])))</f>
        <v>Chennai</v>
      </c>
      <c r="G292" t="str">
        <f>PROPER(sales_dataset[[#This Row],[Region cleaned]])</f>
        <v>North</v>
      </c>
      <c r="H292" t="s">
        <v>212</v>
      </c>
      <c r="I292" t="str">
        <f>IF(TRIM(sales_dataset[[#This Row],[SalespersonName]])="",I295,PROPER(TRIM(sales_dataset[[#This Row],[SalespersonName]])))</f>
        <v>Raj</v>
      </c>
      <c r="J292" s="1" t="s">
        <v>170</v>
      </c>
      <c r="K292" s="1" t="str">
        <f>PROPER(sales_dataset[[#This Row],[ProductCategory cleaned]])</f>
        <v>Home</v>
      </c>
      <c r="L292" s="1" t="str">
        <f>PROPER(sales_dataset[[#This Row],[ProductName]])</f>
        <v>Tv</v>
      </c>
      <c r="M292">
        <f>ABS(sales_dataset!W:W)</f>
        <v>3</v>
      </c>
      <c r="N292">
        <f>ABS(sales_dataset[[#This Row],[Column4]])</f>
        <v>500</v>
      </c>
      <c r="O292">
        <f t="shared" si="4"/>
        <v>1500</v>
      </c>
    </row>
    <row r="293" spans="1:15" x14ac:dyDescent="0.3">
      <c r="A293" s="1" t="s">
        <v>647</v>
      </c>
      <c r="B293" s="2">
        <v>45559</v>
      </c>
      <c r="C293" s="1" t="str">
        <f>IF(TRIM(sales_dataset[[#This Row],[SalesChannel]])="",sales_dataset!C294,PROPER(TRIM(sales_dataset[[#This Row],[SalesChannel]])))</f>
        <v>Store</v>
      </c>
      <c r="D293" s="1" t="s">
        <v>648</v>
      </c>
      <c r="E293" s="1" t="str">
        <f>IF(TRIM(sales_dataset[[#This Row],[CustomerName]])="",sales_dataset!F299, PROPER(TRIM(sales_dataset[[#This Row],[CustomerName]])))</f>
        <v>Sara</v>
      </c>
      <c r="F293" s="1" t="str">
        <f>IF(TRIM(sales_dataset[[#This Row],[City]])="", sales_dataset!$H$3, PROPER(TRIM(sales_dataset[[#This Row],[City]])))</f>
        <v>Mumbai</v>
      </c>
      <c r="G293" t="str">
        <f>PROPER(sales_dataset[[#This Row],[Region cleaned]])</f>
        <v>South</v>
      </c>
      <c r="H293" t="s">
        <v>93</v>
      </c>
      <c r="I293" t="str">
        <f>IF(TRIM(sales_dataset[[#This Row],[SalespersonName]])="",I296,PROPER(TRIM(sales_dataset[[#This Row],[SalespersonName]])))</f>
        <v>Anita</v>
      </c>
      <c r="J293" s="1" t="s">
        <v>283</v>
      </c>
      <c r="K293" s="1" t="str">
        <f>PROPER(sales_dataset[[#This Row],[ProductCategory cleaned]])</f>
        <v>Electronics</v>
      </c>
      <c r="L293" s="1" t="str">
        <f>PROPER(sales_dataset[[#This Row],[ProductName]])</f>
        <v>Laptop</v>
      </c>
      <c r="M293">
        <f>ABS(sales_dataset!W:W)</f>
        <v>4</v>
      </c>
      <c r="N293">
        <f>ABS(sales_dataset[[#This Row],[Column4]])</f>
        <v>100</v>
      </c>
      <c r="O293">
        <f t="shared" si="4"/>
        <v>400</v>
      </c>
    </row>
    <row r="294" spans="1:15" x14ac:dyDescent="0.3">
      <c r="A294" s="1" t="s">
        <v>649</v>
      </c>
      <c r="B294" s="2">
        <v>45453</v>
      </c>
      <c r="C294" s="1" t="str">
        <f>IF(TRIM(sales_dataset[[#This Row],[SalesChannel]])="",sales_dataset!C295,PROPER(TRIM(sales_dataset[[#This Row],[SalesChannel]])))</f>
        <v>Online</v>
      </c>
      <c r="D294" s="1" t="s">
        <v>389</v>
      </c>
      <c r="E294" s="1" t="str">
        <f>IF(TRIM(sales_dataset[[#This Row],[CustomerName]])="",sales_dataset!F300, PROPER(TRIM(sales_dataset[[#This Row],[CustomerName]])))</f>
        <v>Priya</v>
      </c>
      <c r="F294" s="1" t="str">
        <f>IF(TRIM(sales_dataset[[#This Row],[City]])="", sales_dataset!$H$3, PROPER(TRIM(sales_dataset[[#This Row],[City]])))</f>
        <v>Chennai</v>
      </c>
      <c r="G294" t="str">
        <f>PROPER(sales_dataset[[#This Row],[Region cleaned]])</f>
        <v>North</v>
      </c>
      <c r="H294" t="s">
        <v>427</v>
      </c>
      <c r="I294" t="str">
        <f>IF(TRIM(sales_dataset[[#This Row],[SalespersonName]])="",I297,PROPER(TRIM(sales_dataset[[#This Row],[SalespersonName]])))</f>
        <v>Raj</v>
      </c>
      <c r="J294" s="1" t="s">
        <v>327</v>
      </c>
      <c r="K294" s="1" t="str">
        <f>PROPER(sales_dataset[[#This Row],[ProductCategory cleaned]])</f>
        <v>Electronics</v>
      </c>
      <c r="L294" s="1" t="str">
        <f>PROPER(sales_dataset[[#This Row],[ProductName]])</f>
        <v>Tv</v>
      </c>
      <c r="M294">
        <f>ABS(sales_dataset!W:W)</f>
        <v>2</v>
      </c>
      <c r="N294">
        <f>ABS(sales_dataset[[#This Row],[Column4]])</f>
        <v>100</v>
      </c>
      <c r="O294">
        <f t="shared" si="4"/>
        <v>200</v>
      </c>
    </row>
    <row r="295" spans="1:15" x14ac:dyDescent="0.3">
      <c r="A295" s="1" t="s">
        <v>650</v>
      </c>
      <c r="B295" s="2">
        <v>45425</v>
      </c>
      <c r="C295" s="1" t="str">
        <f>IF(TRIM(sales_dataset[[#This Row],[SalesChannel]])="",sales_dataset!C296,PROPER(TRIM(sales_dataset[[#This Row],[SalesChannel]])))</f>
        <v>Online</v>
      </c>
      <c r="D295" s="1" t="s">
        <v>496</v>
      </c>
      <c r="E295" s="1" t="str">
        <f>IF(TRIM(sales_dataset[[#This Row],[CustomerName]])="",sales_dataset!F301, PROPER(TRIM(sales_dataset[[#This Row],[CustomerName]])))</f>
        <v>Amit</v>
      </c>
      <c r="F295" s="1" t="str">
        <f>IF(TRIM(sales_dataset[[#This Row],[City]])="", sales_dataset!$H$3, PROPER(TRIM(sales_dataset[[#This Row],[City]])))</f>
        <v>Mumbai</v>
      </c>
      <c r="G295" t="str">
        <f>PROPER(sales_dataset[[#This Row],[Region cleaned]])</f>
        <v>South</v>
      </c>
      <c r="H295" t="s">
        <v>173</v>
      </c>
      <c r="I295" t="str">
        <f>IF(TRIM(sales_dataset[[#This Row],[SalespersonName]])="",I298,PROPER(TRIM(sales_dataset[[#This Row],[SalespersonName]])))</f>
        <v>Raj</v>
      </c>
      <c r="J295" s="1" t="s">
        <v>651</v>
      </c>
      <c r="K295" s="1" t="str">
        <f>PROPER(sales_dataset[[#This Row],[ProductCategory cleaned]])</f>
        <v>Electronics</v>
      </c>
      <c r="L295" s="1" t="str">
        <f>PROPER(sales_dataset[[#This Row],[ProductName]])</f>
        <v>Sofa</v>
      </c>
      <c r="M295">
        <f>ABS(sales_dataset!W:W)</f>
        <v>5</v>
      </c>
      <c r="N295">
        <f>ABS(sales_dataset[[#This Row],[Column4]])</f>
        <v>100</v>
      </c>
      <c r="O295">
        <f t="shared" si="4"/>
        <v>500</v>
      </c>
    </row>
    <row r="296" spans="1:15" x14ac:dyDescent="0.3">
      <c r="A296" s="1" t="s">
        <v>652</v>
      </c>
      <c r="B296" s="2">
        <v>45396</v>
      </c>
      <c r="C296" s="1" t="str">
        <f>IF(TRIM(sales_dataset[[#This Row],[SalesChannel]])="",sales_dataset!C297,PROPER(TRIM(sales_dataset[[#This Row],[SalesChannel]])))</f>
        <v>Online</v>
      </c>
      <c r="D296" s="1" t="s">
        <v>479</v>
      </c>
      <c r="E296" s="1" t="str">
        <f>IF(TRIM(sales_dataset[[#This Row],[CustomerName]])="",sales_dataset!F302, PROPER(TRIM(sales_dataset[[#This Row],[CustomerName]])))</f>
        <v>David</v>
      </c>
      <c r="F296" s="1" t="str">
        <f>IF(TRIM(sales_dataset[[#This Row],[City]])="", sales_dataset!$H$3, PROPER(TRIM(sales_dataset[[#This Row],[City]])))</f>
        <v>Delhi</v>
      </c>
      <c r="G296" t="str">
        <f>PROPER(sales_dataset[[#This Row],[Region cleaned]])</f>
        <v>North</v>
      </c>
      <c r="H296" t="s">
        <v>212</v>
      </c>
      <c r="I296" t="str">
        <f>IF(TRIM(sales_dataset[[#This Row],[SalespersonName]])="",I299,PROPER(TRIM(sales_dataset[[#This Row],[SalespersonName]])))</f>
        <v>Anita</v>
      </c>
      <c r="J296" s="1" t="s">
        <v>104</v>
      </c>
      <c r="K296" s="1" t="str">
        <f>PROPER(sales_dataset[[#This Row],[ProductCategory cleaned]])</f>
        <v>Home</v>
      </c>
      <c r="L296" s="1" t="str">
        <f>PROPER(sales_dataset[[#This Row],[ProductName]])</f>
        <v>Tv</v>
      </c>
      <c r="M296">
        <f>ABS(sales_dataset!W:W)</f>
        <v>4</v>
      </c>
      <c r="N296">
        <f>ABS(sales_dataset[[#This Row],[Column4]])</f>
        <v>500</v>
      </c>
      <c r="O296">
        <f t="shared" si="4"/>
        <v>2000</v>
      </c>
    </row>
    <row r="297" spans="1:15" x14ac:dyDescent="0.3">
      <c r="A297" s="1" t="s">
        <v>653</v>
      </c>
      <c r="B297" s="2">
        <v>45452</v>
      </c>
      <c r="C297" s="1" t="str">
        <f>IF(TRIM(sales_dataset[[#This Row],[SalesChannel]])="",sales_dataset!C298,PROPER(TRIM(sales_dataset[[#This Row],[SalesChannel]])))</f>
        <v>Offline</v>
      </c>
      <c r="D297" s="1" t="s">
        <v>183</v>
      </c>
      <c r="E297" s="1" t="str">
        <f>IF(TRIM(sales_dataset[[#This Row],[CustomerName]])="",sales_dataset!F303, PROPER(TRIM(sales_dataset[[#This Row],[CustomerName]])))</f>
        <v>priya</v>
      </c>
      <c r="F297" s="1" t="str">
        <f>IF(TRIM(sales_dataset[[#This Row],[City]])="", sales_dataset!$H$3, PROPER(TRIM(sales_dataset[[#This Row],[City]])))</f>
        <v>Bengaluru</v>
      </c>
      <c r="G297" t="str">
        <f>PROPER(sales_dataset[[#This Row],[Region cleaned]])</f>
        <v>South</v>
      </c>
      <c r="H297" t="s">
        <v>125</v>
      </c>
      <c r="I297" t="str">
        <f>IF(TRIM(sales_dataset[[#This Row],[SalespersonName]])="",I300,PROPER(TRIM(sales_dataset[[#This Row],[SalespersonName]])))</f>
        <v>Anita</v>
      </c>
      <c r="J297" s="1" t="s">
        <v>515</v>
      </c>
      <c r="K297" s="1" t="str">
        <f>PROPER(sales_dataset[[#This Row],[ProductCategory cleaned]])</f>
        <v>Electronics</v>
      </c>
      <c r="L297" s="1" t="str">
        <f>PROPER(sales_dataset[[#This Row],[ProductName]])</f>
        <v>Shirt</v>
      </c>
      <c r="M297">
        <f>ABS(sales_dataset!W:W)</f>
        <v>1</v>
      </c>
      <c r="N297">
        <f>ABS(sales_dataset[[#This Row],[Column4]])</f>
        <v>100</v>
      </c>
      <c r="O297">
        <f t="shared" si="4"/>
        <v>100</v>
      </c>
    </row>
    <row r="298" spans="1:15" x14ac:dyDescent="0.3">
      <c r="A298" s="1" t="s">
        <v>654</v>
      </c>
      <c r="B298" s="2">
        <v>45414</v>
      </c>
      <c r="C298" s="1" t="str">
        <f>IF(TRIM(sales_dataset[[#This Row],[SalesChannel]])="",sales_dataset!C299,PROPER(TRIM(sales_dataset[[#This Row],[SalesChannel]])))</f>
        <v>Store</v>
      </c>
      <c r="D298" s="1" t="s">
        <v>655</v>
      </c>
      <c r="E298" s="1" t="str">
        <f>IF(TRIM(sales_dataset[[#This Row],[CustomerName]])="",sales_dataset!F304, PROPER(TRIM(sales_dataset[[#This Row],[CustomerName]])))</f>
        <v>Priya</v>
      </c>
      <c r="F298" s="1" t="str">
        <f>IF(TRIM(sales_dataset[[#This Row],[City]])="", sales_dataset!$H$3, PROPER(TRIM(sales_dataset[[#This Row],[City]])))</f>
        <v>Hyderabad</v>
      </c>
      <c r="G298" t="str">
        <f>PROPER(sales_dataset[[#This Row],[Region cleaned]])</f>
        <v>North</v>
      </c>
      <c r="H298" t="s">
        <v>433</v>
      </c>
      <c r="I298" t="str">
        <f>IF(TRIM(sales_dataset[[#This Row],[SalespersonName]])="",I301,PROPER(TRIM(sales_dataset[[#This Row],[SalespersonName]])))</f>
        <v>Anita</v>
      </c>
      <c r="J298" s="1" t="s">
        <v>609</v>
      </c>
      <c r="K298" s="1" t="str">
        <f>PROPER(sales_dataset[[#This Row],[ProductCategory cleaned]])</f>
        <v>Electronics</v>
      </c>
      <c r="L298" s="1" t="str">
        <f>PROPER(sales_dataset[[#This Row],[ProductName]])</f>
        <v>Shirt</v>
      </c>
      <c r="M298">
        <f>ABS(sales_dataset!W:W)</f>
        <v>3</v>
      </c>
      <c r="N298">
        <f>ABS(sales_dataset[[#This Row],[Column4]])</f>
        <v>100</v>
      </c>
      <c r="O298">
        <f t="shared" si="4"/>
        <v>300</v>
      </c>
    </row>
    <row r="299" spans="1:15" x14ac:dyDescent="0.3">
      <c r="A299" s="1" t="s">
        <v>656</v>
      </c>
      <c r="B299" s="2">
        <v>45427</v>
      </c>
      <c r="C299" s="1" t="str">
        <f>IF(TRIM(sales_dataset[[#This Row],[SalesChannel]])="",sales_dataset!C300,PROPER(TRIM(sales_dataset[[#This Row],[SalesChannel]])))</f>
        <v>Store</v>
      </c>
      <c r="D299" s="1" t="s">
        <v>132</v>
      </c>
      <c r="E299" s="1" t="str">
        <f>IF(TRIM(sales_dataset[[#This Row],[CustomerName]])="",sales_dataset!F305, PROPER(TRIM(sales_dataset[[#This Row],[CustomerName]])))</f>
        <v/>
      </c>
      <c r="F299" s="1" t="str">
        <f>IF(TRIM(sales_dataset[[#This Row],[City]])="", sales_dataset!$H$3, PROPER(TRIM(sales_dataset[[#This Row],[City]])))</f>
        <v>Chennai</v>
      </c>
      <c r="G299" t="str">
        <f>PROPER(sales_dataset[[#This Row],[Region cleaned]])</f>
        <v>North</v>
      </c>
      <c r="H299" t="s">
        <v>224</v>
      </c>
      <c r="I299" t="str">
        <f>IF(TRIM(sales_dataset[[#This Row],[SalespersonName]])="",I302,PROPER(TRIM(sales_dataset[[#This Row],[SalespersonName]])))</f>
        <v>Sam</v>
      </c>
      <c r="J299" s="1" t="s">
        <v>141</v>
      </c>
      <c r="K299" s="1" t="str">
        <f>PROPER(sales_dataset[[#This Row],[ProductCategory cleaned]])</f>
        <v>Electronics</v>
      </c>
      <c r="L299" s="1" t="str">
        <f>PROPER(sales_dataset[[#This Row],[ProductName]])</f>
        <v>Laptop</v>
      </c>
      <c r="M299">
        <f>ABS(sales_dataset!W:W)</f>
        <v>5</v>
      </c>
      <c r="N299">
        <f>ABS(sales_dataset[[#This Row],[Column4]])</f>
        <v>500</v>
      </c>
      <c r="O299">
        <f t="shared" si="4"/>
        <v>2500</v>
      </c>
    </row>
    <row r="300" spans="1:15" x14ac:dyDescent="0.3">
      <c r="A300" s="1" t="s">
        <v>657</v>
      </c>
      <c r="B300" s="2">
        <v>45494</v>
      </c>
      <c r="C300" s="1" t="str">
        <f>IF(TRIM(sales_dataset[[#This Row],[SalesChannel]])="",sales_dataset!C301,PROPER(TRIM(sales_dataset[[#This Row],[SalesChannel]])))</f>
        <v>Online</v>
      </c>
      <c r="D300" s="1" t="s">
        <v>533</v>
      </c>
      <c r="E300" s="1" t="str">
        <f>IF(TRIM(sales_dataset[[#This Row],[CustomerName]])="",sales_dataset!F306, PROPER(TRIM(sales_dataset[[#This Row],[CustomerName]])))</f>
        <v>Priya</v>
      </c>
      <c r="F300" s="1" t="str">
        <f>IF(TRIM(sales_dataset[[#This Row],[City]])="", sales_dataset!$H$3, PROPER(TRIM(sales_dataset[[#This Row],[City]])))</f>
        <v>Hyderabad</v>
      </c>
      <c r="G300" t="str">
        <f>PROPER(sales_dataset[[#This Row],[Region cleaned]])</f>
        <v>West</v>
      </c>
      <c r="H300" t="s">
        <v>376</v>
      </c>
      <c r="I300" t="str">
        <f>IF(TRIM(sales_dataset[[#This Row],[SalespersonName]])="",I303,PROPER(TRIM(sales_dataset[[#This Row],[SalespersonName]])))</f>
        <v>Anita</v>
      </c>
      <c r="J300" s="1" t="s">
        <v>100</v>
      </c>
      <c r="K300" s="1" t="str">
        <f>PROPER(sales_dataset[[#This Row],[ProductCategory cleaned]])</f>
        <v>Clothing</v>
      </c>
      <c r="L300" s="1" t="str">
        <f>PROPER(sales_dataset[[#This Row],[ProductName]])</f>
        <v>Shirt</v>
      </c>
      <c r="M300">
        <f>ABS(sales_dataset!W:W)</f>
        <v>1</v>
      </c>
      <c r="N300">
        <f>ABS(sales_dataset[[#This Row],[Column4]])</f>
        <v>100</v>
      </c>
      <c r="O300">
        <f t="shared" si="4"/>
        <v>100</v>
      </c>
    </row>
    <row r="301" spans="1:15" x14ac:dyDescent="0.3">
      <c r="A301" s="1" t="s">
        <v>658</v>
      </c>
      <c r="B301" s="2">
        <v>45359</v>
      </c>
      <c r="C301" s="1" t="str">
        <f>IF(TRIM(sales_dataset[[#This Row],[SalesChannel]])="",sales_dataset!C302,PROPER(TRIM(sales_dataset[[#This Row],[SalesChannel]])))</f>
        <v>Online</v>
      </c>
      <c r="D301" s="1" t="s">
        <v>71</v>
      </c>
      <c r="E301" s="1" t="str">
        <f>IF(TRIM(sales_dataset[[#This Row],[CustomerName]])="",sales_dataset!F307, PROPER(TRIM(sales_dataset[[#This Row],[CustomerName]])))</f>
        <v>Amit</v>
      </c>
      <c r="F301" s="1" t="str">
        <f>IF(TRIM(sales_dataset[[#This Row],[City]])="", sales_dataset!$H$3, PROPER(TRIM(sales_dataset[[#This Row],[City]])))</f>
        <v>Chennai</v>
      </c>
      <c r="G301" t="str">
        <f>PROPER(sales_dataset[[#This Row],[Region cleaned]])</f>
        <v>North</v>
      </c>
      <c r="H301" t="s">
        <v>129</v>
      </c>
      <c r="I301" t="str">
        <f>IF(TRIM(sales_dataset[[#This Row],[SalespersonName]])="",I304,PROPER(TRIM(sales_dataset[[#This Row],[SalespersonName]])))</f>
        <v>Raj</v>
      </c>
      <c r="J301" s="1" t="s">
        <v>399</v>
      </c>
      <c r="K301" s="1" t="str">
        <f>PROPER(sales_dataset[[#This Row],[ProductCategory cleaned]])</f>
        <v>Electronics</v>
      </c>
      <c r="L301" s="1" t="str">
        <f>PROPER(sales_dataset[[#This Row],[ProductName]])</f>
        <v>Shirt</v>
      </c>
      <c r="M301">
        <f>ABS(sales_dataset!W:W)</f>
        <v>1</v>
      </c>
      <c r="N301">
        <f>ABS(sales_dataset[[#This Row],[Column4]])</f>
        <v>500</v>
      </c>
      <c r="O301">
        <f t="shared" si="4"/>
        <v>500</v>
      </c>
    </row>
    <row r="302" spans="1:15" x14ac:dyDescent="0.3">
      <c r="A302" s="1" t="s">
        <v>659</v>
      </c>
      <c r="B302" s="2">
        <v>45445</v>
      </c>
      <c r="C302" s="1" t="str">
        <f>IF(TRIM(sales_dataset[[#This Row],[SalesChannel]])="",sales_dataset!C303,PROPER(TRIM(sales_dataset[[#This Row],[SalesChannel]])))</f>
        <v>Online</v>
      </c>
      <c r="D302" s="1" t="s">
        <v>180</v>
      </c>
      <c r="E302" s="1" t="str">
        <f>IF(TRIM(sales_dataset[[#This Row],[CustomerName]])="",sales_dataset!F308, PROPER(TRIM(sales_dataset[[#This Row],[CustomerName]])))</f>
        <v>David</v>
      </c>
      <c r="F302" s="1" t="str">
        <f>IF(TRIM(sales_dataset[[#This Row],[City]])="", sales_dataset!$H$3, PROPER(TRIM(sales_dataset[[#This Row],[City]])))</f>
        <v>Mumbai</v>
      </c>
      <c r="G302" t="str">
        <f>PROPER(sales_dataset[[#This Row],[Region cleaned]])</f>
        <v>South</v>
      </c>
      <c r="H302" t="s">
        <v>258</v>
      </c>
      <c r="I302" t="str">
        <f>IF(TRIM(sales_dataset[[#This Row],[SalespersonName]])="",I305,PROPER(TRIM(sales_dataset[[#This Row],[SalespersonName]])))</f>
        <v>Megha</v>
      </c>
      <c r="J302" s="1" t="s">
        <v>40</v>
      </c>
      <c r="K302" s="1" t="str">
        <f>PROPER(sales_dataset[[#This Row],[ProductCategory cleaned]])</f>
        <v>Clothing</v>
      </c>
      <c r="L302" s="1" t="str">
        <f>PROPER(sales_dataset[[#This Row],[ProductName]])</f>
        <v/>
      </c>
      <c r="M302">
        <f>ABS(sales_dataset!W:W)</f>
        <v>1</v>
      </c>
      <c r="N302">
        <f>ABS(sales_dataset[[#This Row],[Column4]])</f>
        <v>2000</v>
      </c>
      <c r="O302">
        <f t="shared" si="4"/>
        <v>2000</v>
      </c>
    </row>
    <row r="303" spans="1:15" x14ac:dyDescent="0.3">
      <c r="A303" s="1" t="s">
        <v>660</v>
      </c>
      <c r="B303" s="2">
        <v>45526</v>
      </c>
      <c r="C303" s="1" t="str">
        <f>IF(TRIM(sales_dataset[[#This Row],[SalesChannel]])="",sales_dataset!C304,PROPER(TRIM(sales_dataset[[#This Row],[SalesChannel]])))</f>
        <v>Offline</v>
      </c>
      <c r="D303" s="1" t="s">
        <v>168</v>
      </c>
      <c r="E303" s="1" t="str">
        <f>IF(TRIM(sales_dataset[[#This Row],[CustomerName]])="",sales_dataset!F309, PROPER(TRIM(sales_dataset[[#This Row],[CustomerName]])))</f>
        <v>Priya</v>
      </c>
      <c r="F303" s="1" t="str">
        <f>IF(TRIM(sales_dataset[[#This Row],[City]])="", sales_dataset!$H$3, PROPER(TRIM(sales_dataset[[#This Row],[City]])))</f>
        <v>Mumbai</v>
      </c>
      <c r="G303" t="str">
        <f>PROPER(sales_dataset[[#This Row],[Region cleaned]])</f>
        <v>North</v>
      </c>
      <c r="H303" t="s">
        <v>510</v>
      </c>
      <c r="I303" t="str">
        <f>IF(TRIM(sales_dataset[[#This Row],[SalespersonName]])="",I306,PROPER(TRIM(sales_dataset[[#This Row],[SalespersonName]])))</f>
        <v>Raj</v>
      </c>
      <c r="J303" s="1" t="s">
        <v>112</v>
      </c>
      <c r="K303" s="1" t="str">
        <f>PROPER(sales_dataset[[#This Row],[ProductCategory cleaned]])</f>
        <v>Electronics</v>
      </c>
      <c r="L303" s="1" t="str">
        <f>PROPER(sales_dataset[[#This Row],[ProductName]])</f>
        <v>Sofa</v>
      </c>
      <c r="M303">
        <f>ABS(sales_dataset!W:W)</f>
        <v>1</v>
      </c>
      <c r="N303">
        <f>ABS(sales_dataset[[#This Row],[Column4]])</f>
        <v>2000</v>
      </c>
      <c r="O303">
        <f t="shared" si="4"/>
        <v>2000</v>
      </c>
    </row>
    <row r="304" spans="1:15" x14ac:dyDescent="0.3">
      <c r="A304" s="1" t="s">
        <v>661</v>
      </c>
      <c r="B304" s="2">
        <v>45453</v>
      </c>
      <c r="C304" s="1" t="str">
        <f>IF(TRIM(sales_dataset[[#This Row],[SalesChannel]])="",sales_dataset!C305,PROPER(TRIM(sales_dataset[[#This Row],[SalesChannel]])))</f>
        <v>Store</v>
      </c>
      <c r="D304" s="1" t="s">
        <v>285</v>
      </c>
      <c r="E304" s="1" t="str">
        <f>IF(TRIM(sales_dataset[[#This Row],[CustomerName]])="",sales_dataset!F310, PROPER(TRIM(sales_dataset[[#This Row],[CustomerName]])))</f>
        <v>Sara</v>
      </c>
      <c r="F304" s="1" t="str">
        <f>IF(TRIM(sales_dataset[[#This Row],[City]])="", sales_dataset!$H$3, PROPER(TRIM(sales_dataset[[#This Row],[City]])))</f>
        <v>Chennai</v>
      </c>
      <c r="G304" t="str">
        <f>PROPER(sales_dataset[[#This Row],[Region cleaned]])</f>
        <v>South</v>
      </c>
      <c r="H304" t="s">
        <v>111</v>
      </c>
      <c r="I304" t="str">
        <f>IF(TRIM(sales_dataset[[#This Row],[SalespersonName]])="",I307,PROPER(TRIM(sales_dataset[[#This Row],[SalespersonName]])))</f>
        <v>Anita</v>
      </c>
      <c r="J304" s="1" t="s">
        <v>327</v>
      </c>
      <c r="K304" s="1" t="str">
        <f>PROPER(sales_dataset[[#This Row],[ProductCategory cleaned]])</f>
        <v>Home</v>
      </c>
      <c r="L304" s="1" t="str">
        <f>PROPER(sales_dataset[[#This Row],[ProductName]])</f>
        <v>Watch</v>
      </c>
      <c r="M304">
        <f>ABS(sales_dataset!W:W)</f>
        <v>4</v>
      </c>
      <c r="N304">
        <f>ABS(sales_dataset[[#This Row],[Column4]])</f>
        <v>500</v>
      </c>
      <c r="O304">
        <f t="shared" si="4"/>
        <v>2000</v>
      </c>
    </row>
    <row r="305" spans="1:15" x14ac:dyDescent="0.3">
      <c r="A305" s="1" t="s">
        <v>662</v>
      </c>
      <c r="B305" s="2">
        <v>45329</v>
      </c>
      <c r="C305" s="1" t="str">
        <f>IF(TRIM(sales_dataset[[#This Row],[SalesChannel]])="",sales_dataset!C306,PROPER(TRIM(sales_dataset[[#This Row],[SalesChannel]])))</f>
        <v>Store</v>
      </c>
      <c r="D305" s="1" t="s">
        <v>323</v>
      </c>
      <c r="E305" s="1" t="str">
        <f>IF(TRIM(sales_dataset[[#This Row],[CustomerName]])="",sales_dataset!F311, PROPER(TRIM(sales_dataset[[#This Row],[CustomerName]])))</f>
        <v/>
      </c>
      <c r="F305" s="1" t="str">
        <f>IF(TRIM(sales_dataset[[#This Row],[City]])="", sales_dataset!$H$3, PROPER(TRIM(sales_dataset[[#This Row],[City]])))</f>
        <v>Bengaluru</v>
      </c>
      <c r="G305" t="str">
        <f>PROPER(sales_dataset[[#This Row],[Region cleaned]])</f>
        <v>East</v>
      </c>
      <c r="H305" t="s">
        <v>510</v>
      </c>
      <c r="I305" t="str">
        <f>IF(TRIM(sales_dataset[[#This Row],[SalespersonName]])="",I308,PROPER(TRIM(sales_dataset[[#This Row],[SalespersonName]])))</f>
        <v>Megha</v>
      </c>
      <c r="J305" s="1" t="s">
        <v>94</v>
      </c>
      <c r="K305" s="1" t="str">
        <f>PROPER(sales_dataset[[#This Row],[ProductCategory cleaned]])</f>
        <v>Electronics</v>
      </c>
      <c r="L305" s="1" t="str">
        <f>PROPER(sales_dataset[[#This Row],[ProductName]])</f>
        <v>Sofa</v>
      </c>
      <c r="M305">
        <f>ABS(sales_dataset!W:W)</f>
        <v>2</v>
      </c>
      <c r="N305">
        <f>ABS(sales_dataset[[#This Row],[Column4]])</f>
        <v>2000</v>
      </c>
      <c r="O305">
        <f t="shared" si="4"/>
        <v>4000</v>
      </c>
    </row>
    <row r="306" spans="1:15" x14ac:dyDescent="0.3">
      <c r="A306" s="1" t="s">
        <v>663</v>
      </c>
      <c r="B306" s="2">
        <v>45296</v>
      </c>
      <c r="C306" s="1" t="str">
        <f>IF(TRIM(sales_dataset[[#This Row],[SalesChannel]])="",sales_dataset!C307,PROPER(TRIM(sales_dataset[[#This Row],[SalesChannel]])))</f>
        <v>Online</v>
      </c>
      <c r="D306" s="1" t="s">
        <v>473</v>
      </c>
      <c r="E306" s="1" t="str">
        <f>IF(TRIM(sales_dataset[[#This Row],[CustomerName]])="",sales_dataset!F312, PROPER(TRIM(sales_dataset[[#This Row],[CustomerName]])))</f>
        <v>Priya</v>
      </c>
      <c r="F306" s="1" t="str">
        <f>IF(TRIM(sales_dataset[[#This Row],[City]])="", sales_dataset!$H$3, PROPER(TRIM(sales_dataset[[#This Row],[City]])))</f>
        <v>Mumbai</v>
      </c>
      <c r="G306" t="str">
        <f>PROPER(sales_dataset[[#This Row],[Region cleaned]])</f>
        <v>East</v>
      </c>
      <c r="H306" t="s">
        <v>258</v>
      </c>
      <c r="I306" t="str">
        <f>IF(TRIM(sales_dataset[[#This Row],[SalespersonName]])="",I309,PROPER(TRIM(sales_dataset[[#This Row],[SalespersonName]])))</f>
        <v>Raj</v>
      </c>
      <c r="J306" s="1" t="s">
        <v>248</v>
      </c>
      <c r="K306" s="1" t="str">
        <f>PROPER(sales_dataset[[#This Row],[ProductCategory cleaned]])</f>
        <v>Electronics</v>
      </c>
      <c r="L306" s="1" t="str">
        <f>PROPER(sales_dataset[[#This Row],[ProductName]])</f>
        <v>Shirt</v>
      </c>
      <c r="M306">
        <f>ABS(sales_dataset!W:W)</f>
        <v>4</v>
      </c>
      <c r="N306">
        <f>ABS(sales_dataset[[#This Row],[Column4]])</f>
        <v>100</v>
      </c>
      <c r="O306">
        <f t="shared" si="4"/>
        <v>400</v>
      </c>
    </row>
    <row r="307" spans="1:15" x14ac:dyDescent="0.3">
      <c r="A307" s="1" t="s">
        <v>664</v>
      </c>
      <c r="B307" s="2">
        <v>45526</v>
      </c>
      <c r="C307" s="1" t="str">
        <f>IF(TRIM(sales_dataset[[#This Row],[SalesChannel]])="",sales_dataset!C308,PROPER(TRIM(sales_dataset[[#This Row],[SalesChannel]])))</f>
        <v>Online</v>
      </c>
      <c r="D307" s="1" t="s">
        <v>117</v>
      </c>
      <c r="E307" s="1" t="str">
        <f>IF(TRIM(sales_dataset[[#This Row],[CustomerName]])="",sales_dataset!F313, PROPER(TRIM(sales_dataset[[#This Row],[CustomerName]])))</f>
        <v>John</v>
      </c>
      <c r="F307" s="1" t="str">
        <f>IF(TRIM(sales_dataset[[#This Row],[City]])="", sales_dataset!$H$3, PROPER(TRIM(sales_dataset[[#This Row],[City]])))</f>
        <v>Chennai</v>
      </c>
      <c r="G307" t="str">
        <f>PROPER(sales_dataset[[#This Row],[Region cleaned]])</f>
        <v>East</v>
      </c>
      <c r="H307" t="s">
        <v>177</v>
      </c>
      <c r="I307" t="str">
        <f>IF(TRIM(sales_dataset[[#This Row],[SalespersonName]])="",I310,PROPER(TRIM(sales_dataset[[#This Row],[SalespersonName]])))</f>
        <v>Anita</v>
      </c>
      <c r="J307" s="1" t="s">
        <v>421</v>
      </c>
      <c r="K307" s="1" t="str">
        <f>PROPER(sales_dataset[[#This Row],[ProductCategory cleaned]])</f>
        <v>Electronics</v>
      </c>
      <c r="L307" s="1" t="str">
        <f>PROPER(sales_dataset[[#This Row],[ProductName]])</f>
        <v>Tv</v>
      </c>
      <c r="M307">
        <f>ABS(sales_dataset!W:W)</f>
        <v>4</v>
      </c>
      <c r="N307">
        <f>ABS(sales_dataset[[#This Row],[Column4]])</f>
        <v>2000</v>
      </c>
      <c r="O307">
        <f t="shared" si="4"/>
        <v>8000</v>
      </c>
    </row>
    <row r="308" spans="1:15" x14ac:dyDescent="0.3">
      <c r="A308" s="1" t="s">
        <v>665</v>
      </c>
      <c r="B308" s="2">
        <v>45580</v>
      </c>
      <c r="C308" s="1" t="str">
        <f>IF(TRIM(sales_dataset[[#This Row],[SalesChannel]])="",sales_dataset!C309,PROPER(TRIM(sales_dataset[[#This Row],[SalesChannel]])))</f>
        <v>Online</v>
      </c>
      <c r="D308" s="1" t="s">
        <v>240</v>
      </c>
      <c r="E308" s="1" t="str">
        <f>IF(TRIM(sales_dataset[[#This Row],[CustomerName]])="",sales_dataset!F314, PROPER(TRIM(sales_dataset[[#This Row],[CustomerName]])))</f>
        <v>priya</v>
      </c>
      <c r="F308" s="1" t="str">
        <f>IF(TRIM(sales_dataset[[#This Row],[City]])="", sales_dataset!$H$3, PROPER(TRIM(sales_dataset[[#This Row],[City]])))</f>
        <v>Mumbai</v>
      </c>
      <c r="G308" t="str">
        <f>PROPER(sales_dataset[[#This Row],[Region cleaned]])</f>
        <v>West</v>
      </c>
      <c r="H308" t="s">
        <v>148</v>
      </c>
      <c r="I308" t="str">
        <f>IF(TRIM(sales_dataset[[#This Row],[SalespersonName]])="",I311,PROPER(TRIM(sales_dataset[[#This Row],[SalespersonName]])))</f>
        <v>Anita</v>
      </c>
      <c r="J308" s="1" t="s">
        <v>159</v>
      </c>
      <c r="K308" s="1" t="str">
        <f>PROPER(sales_dataset[[#This Row],[ProductCategory cleaned]])</f>
        <v>Electronics</v>
      </c>
      <c r="L308" s="1" t="str">
        <f>PROPER(sales_dataset[[#This Row],[ProductName]])</f>
        <v>Shirt</v>
      </c>
      <c r="M308">
        <f>ABS(sales_dataset!W:W)</f>
        <v>1</v>
      </c>
      <c r="N308">
        <f>ABS(sales_dataset[[#This Row],[Column4]])</f>
        <v>2000</v>
      </c>
      <c r="O308">
        <f t="shared" si="4"/>
        <v>2000</v>
      </c>
    </row>
    <row r="309" spans="1:15" x14ac:dyDescent="0.3">
      <c r="A309" s="1" t="s">
        <v>666</v>
      </c>
      <c r="B309" s="2">
        <v>45343</v>
      </c>
      <c r="C309" s="1" t="str">
        <f>IF(TRIM(sales_dataset[[#This Row],[SalesChannel]])="",sales_dataset!C310,PROPER(TRIM(sales_dataset[[#This Row],[SalesChannel]])))</f>
        <v>Offline</v>
      </c>
      <c r="D309" s="1" t="s">
        <v>648</v>
      </c>
      <c r="E309" s="1" t="str">
        <f>IF(TRIM(sales_dataset[[#This Row],[CustomerName]])="",sales_dataset!F315, PROPER(TRIM(sales_dataset[[#This Row],[CustomerName]])))</f>
        <v>John</v>
      </c>
      <c r="F309" s="1" t="str">
        <f>IF(TRIM(sales_dataset[[#This Row],[City]])="", sales_dataset!$H$3, PROPER(TRIM(sales_dataset[[#This Row],[City]])))</f>
        <v>Bengaluru</v>
      </c>
      <c r="G309" t="str">
        <f>PROPER(sales_dataset[[#This Row],[Region cleaned]])</f>
        <v>North</v>
      </c>
      <c r="H309" t="s">
        <v>510</v>
      </c>
      <c r="I309" t="str">
        <f>IF(TRIM(sales_dataset[[#This Row],[SalespersonName]])="",I312,PROPER(TRIM(sales_dataset[[#This Row],[SalespersonName]])))</f>
        <v>Raj</v>
      </c>
      <c r="J309" s="1" t="s">
        <v>242</v>
      </c>
      <c r="K309" s="1" t="str">
        <f>PROPER(sales_dataset[[#This Row],[ProductCategory cleaned]])</f>
        <v>Clothing</v>
      </c>
      <c r="L309" s="1" t="str">
        <f>PROPER(sales_dataset[[#This Row],[ProductName]])</f>
        <v>Tv</v>
      </c>
      <c r="M309">
        <f>ABS(sales_dataset!W:W)</f>
        <v>4</v>
      </c>
      <c r="N309">
        <f>ABS(sales_dataset[[#This Row],[Column4]])</f>
        <v>500</v>
      </c>
      <c r="O309">
        <f t="shared" si="4"/>
        <v>2000</v>
      </c>
    </row>
    <row r="310" spans="1:15" x14ac:dyDescent="0.3">
      <c r="A310" s="1" t="s">
        <v>667</v>
      </c>
      <c r="B310" s="2">
        <v>45329</v>
      </c>
      <c r="C310" s="1" t="str">
        <f>IF(TRIM(sales_dataset[[#This Row],[SalesChannel]])="",sales_dataset!C311,PROPER(TRIM(sales_dataset[[#This Row],[SalesChannel]])))</f>
        <v>Store</v>
      </c>
      <c r="D310" s="1" t="s">
        <v>425</v>
      </c>
      <c r="E310" s="1" t="str">
        <f>IF(TRIM(sales_dataset[[#This Row],[CustomerName]])="",sales_dataset!F316, PROPER(TRIM(sales_dataset[[#This Row],[CustomerName]])))</f>
        <v>David</v>
      </c>
      <c r="F310" s="1" t="str">
        <f>IF(TRIM(sales_dataset[[#This Row],[City]])="", sales_dataset!$H$3, PROPER(TRIM(sales_dataset[[#This Row],[City]])))</f>
        <v>Delhi</v>
      </c>
      <c r="G310" t="str">
        <f>PROPER(sales_dataset[[#This Row],[Region cleaned]])</f>
        <v>North</v>
      </c>
      <c r="H310" t="s">
        <v>376</v>
      </c>
      <c r="I310" t="str">
        <f>IF(TRIM(sales_dataset[[#This Row],[SalespersonName]])="",I313,PROPER(TRIM(sales_dataset[[#This Row],[SalespersonName]])))</f>
        <v>Kevin</v>
      </c>
      <c r="J310" s="1" t="s">
        <v>248</v>
      </c>
      <c r="K310" s="1" t="str">
        <f>PROPER(sales_dataset[[#This Row],[ProductCategory cleaned]])</f>
        <v>Electronics</v>
      </c>
      <c r="L310" s="1" t="str">
        <f>PROPER(sales_dataset[[#This Row],[ProductName]])</f>
        <v>Laptop</v>
      </c>
      <c r="M310">
        <f>ABS(sales_dataset!W:W)</f>
        <v>4</v>
      </c>
      <c r="N310">
        <f>ABS(sales_dataset[[#This Row],[Column4]])</f>
        <v>2000</v>
      </c>
      <c r="O310">
        <f t="shared" si="4"/>
        <v>8000</v>
      </c>
    </row>
    <row r="311" spans="1:15" x14ac:dyDescent="0.3">
      <c r="A311" s="1" t="s">
        <v>668</v>
      </c>
      <c r="B311" s="2">
        <v>45567</v>
      </c>
      <c r="C311" s="1" t="str">
        <f>IF(TRIM(sales_dataset[[#This Row],[SalesChannel]])="",sales_dataset!C312,PROPER(TRIM(sales_dataset[[#This Row],[SalesChannel]])))</f>
        <v>Store</v>
      </c>
      <c r="D311" s="1" t="s">
        <v>260</v>
      </c>
      <c r="E311" s="1" t="str">
        <f>IF(TRIM(sales_dataset[[#This Row],[CustomerName]])="",sales_dataset!F317, PROPER(TRIM(sales_dataset[[#This Row],[CustomerName]])))</f>
        <v>Priya</v>
      </c>
      <c r="F311" s="1" t="str">
        <f>IF(TRIM(sales_dataset[[#This Row],[City]])="", sales_dataset!$H$3, PROPER(TRIM(sales_dataset[[#This Row],[City]])))</f>
        <v>Delhi</v>
      </c>
      <c r="G311" t="str">
        <f>PROPER(sales_dataset[[#This Row],[Region cleaned]])</f>
        <v>North</v>
      </c>
      <c r="H311" t="s">
        <v>99</v>
      </c>
      <c r="I311" t="str">
        <f>IF(TRIM(sales_dataset[[#This Row],[SalespersonName]])="",I314,PROPER(TRIM(sales_dataset[[#This Row],[SalespersonName]])))</f>
        <v>Sam</v>
      </c>
      <c r="J311" s="1" t="s">
        <v>130</v>
      </c>
      <c r="K311" s="1" t="str">
        <f>PROPER(sales_dataset[[#This Row],[ProductCategory cleaned]])</f>
        <v>Electronics</v>
      </c>
      <c r="L311" s="1" t="str">
        <f>PROPER(sales_dataset[[#This Row],[ProductName]])</f>
        <v>Shirt</v>
      </c>
      <c r="M311">
        <f>ABS(sales_dataset!W:W)</f>
        <v>1</v>
      </c>
      <c r="N311">
        <f>ABS(sales_dataset[[#This Row],[Column4]])</f>
        <v>2500</v>
      </c>
      <c r="O311">
        <f t="shared" si="4"/>
        <v>2500</v>
      </c>
    </row>
    <row r="312" spans="1:15" x14ac:dyDescent="0.3">
      <c r="A312" s="1" t="s">
        <v>669</v>
      </c>
      <c r="B312" s="2">
        <v>45401</v>
      </c>
      <c r="C312" s="1" t="str">
        <f>IF(TRIM(sales_dataset[[#This Row],[SalesChannel]])="",sales_dataset!C313,PROPER(TRIM(sales_dataset[[#This Row],[SalesChannel]])))</f>
        <v>Online</v>
      </c>
      <c r="D312" s="1" t="s">
        <v>529</v>
      </c>
      <c r="E312" s="1" t="str">
        <f>IF(TRIM(sales_dataset[[#This Row],[CustomerName]])="",sales_dataset!F318, PROPER(TRIM(sales_dataset[[#This Row],[CustomerName]])))</f>
        <v>Priya</v>
      </c>
      <c r="F312" s="1" t="str">
        <f>IF(TRIM(sales_dataset[[#This Row],[City]])="", sales_dataset!$H$3, PROPER(TRIM(sales_dataset[[#This Row],[City]])))</f>
        <v>Hyderabad</v>
      </c>
      <c r="G312" t="str">
        <f>PROPER(sales_dataset[[#This Row],[Region cleaned]])</f>
        <v>South</v>
      </c>
      <c r="H312" t="s">
        <v>258</v>
      </c>
      <c r="I312" t="str">
        <f>IF(TRIM(sales_dataset[[#This Row],[SalespersonName]])="",I315,PROPER(TRIM(sales_dataset[[#This Row],[SalespersonName]])))</f>
        <v>Raj</v>
      </c>
      <c r="J312" s="1" t="s">
        <v>100</v>
      </c>
      <c r="K312" s="1" t="str">
        <f>PROPER(sales_dataset[[#This Row],[ProductCategory cleaned]])</f>
        <v>Electronics</v>
      </c>
      <c r="L312" s="1" t="str">
        <f>PROPER(sales_dataset[[#This Row],[ProductName]])</f>
        <v>Sofa</v>
      </c>
      <c r="M312">
        <f>ABS(sales_dataset!W:W)</f>
        <v>1</v>
      </c>
      <c r="N312">
        <f>ABS(sales_dataset[[#This Row],[Column4]])</f>
        <v>2500</v>
      </c>
      <c r="O312">
        <f t="shared" si="4"/>
        <v>2500</v>
      </c>
    </row>
    <row r="313" spans="1:15" x14ac:dyDescent="0.3">
      <c r="A313" s="1" t="s">
        <v>670</v>
      </c>
      <c r="B313" s="2">
        <v>45551</v>
      </c>
      <c r="C313" s="1" t="str">
        <f>IF(TRIM(sales_dataset[[#This Row],[SalesChannel]])="",sales_dataset!C314,PROPER(TRIM(sales_dataset[[#This Row],[SalesChannel]])))</f>
        <v>Online</v>
      </c>
      <c r="D313" s="1" t="s">
        <v>158</v>
      </c>
      <c r="E313" s="1" t="str">
        <f>IF(TRIM(sales_dataset[[#This Row],[CustomerName]])="",sales_dataset!F319, PROPER(TRIM(sales_dataset[[#This Row],[CustomerName]])))</f>
        <v>John</v>
      </c>
      <c r="F313" s="1" t="str">
        <f>IF(TRIM(sales_dataset[[#This Row],[City]])="", sales_dataset!$H$3, PROPER(TRIM(sales_dataset[[#This Row],[City]])))</f>
        <v>Chennai</v>
      </c>
      <c r="G313" t="str">
        <f>PROPER(sales_dataset[[#This Row],[Region cleaned]])</f>
        <v>East</v>
      </c>
      <c r="H313" t="s">
        <v>227</v>
      </c>
      <c r="I313" t="str">
        <f>IF(TRIM(sales_dataset[[#This Row],[SalespersonName]])="",I316,PROPER(TRIM(sales_dataset[[#This Row],[SalespersonName]])))</f>
        <v>Sam</v>
      </c>
      <c r="J313" s="1" t="s">
        <v>100</v>
      </c>
      <c r="K313" s="1" t="str">
        <f>PROPER(sales_dataset[[#This Row],[ProductCategory cleaned]])</f>
        <v>Electronics</v>
      </c>
      <c r="L313" s="1" t="str">
        <f>PROPER(sales_dataset[[#This Row],[ProductName]])</f>
        <v>Watch</v>
      </c>
      <c r="M313">
        <f>ABS(sales_dataset!W:W)</f>
        <v>3</v>
      </c>
      <c r="N313">
        <f>ABS(sales_dataset[[#This Row],[Column4]])</f>
        <v>2500</v>
      </c>
      <c r="O313">
        <f t="shared" si="4"/>
        <v>7500</v>
      </c>
    </row>
    <row r="314" spans="1:15" x14ac:dyDescent="0.3">
      <c r="A314" s="1" t="s">
        <v>671</v>
      </c>
      <c r="B314" s="2">
        <v>45427</v>
      </c>
      <c r="C314" s="1" t="str">
        <f>IF(TRIM(sales_dataset[[#This Row],[SalesChannel]])="",sales_dataset!C315,PROPER(TRIM(sales_dataset[[#This Row],[SalesChannel]])))</f>
        <v>Online</v>
      </c>
      <c r="D314" s="1" t="s">
        <v>672</v>
      </c>
      <c r="E314" s="1" t="str">
        <f>IF(TRIM(sales_dataset[[#This Row],[CustomerName]])="",sales_dataset!F320, PROPER(TRIM(sales_dataset[[#This Row],[CustomerName]])))</f>
        <v>Priya</v>
      </c>
      <c r="F314" s="1" t="str">
        <f>IF(TRIM(sales_dataset[[#This Row],[City]])="", sales_dataset!$H$3, PROPER(TRIM(sales_dataset[[#This Row],[City]])))</f>
        <v>Delhi</v>
      </c>
      <c r="G314" t="str">
        <f>PROPER(sales_dataset[[#This Row],[Region cleaned]])</f>
        <v>West</v>
      </c>
      <c r="H314" t="s">
        <v>162</v>
      </c>
      <c r="I314" t="str">
        <f>IF(TRIM(sales_dataset[[#This Row],[SalespersonName]])="",I317,PROPER(TRIM(sales_dataset[[#This Row],[SalespersonName]])))</f>
        <v>Raj</v>
      </c>
      <c r="J314" s="1" t="s">
        <v>673</v>
      </c>
      <c r="K314" s="1" t="str">
        <f>PROPER(sales_dataset[[#This Row],[ProductCategory cleaned]])</f>
        <v>Electronics</v>
      </c>
      <c r="L314" s="1" t="str">
        <f>PROPER(sales_dataset[[#This Row],[ProductName]])</f>
        <v>Sofa</v>
      </c>
      <c r="M314">
        <f>ABS(sales_dataset!W:W)</f>
        <v>5</v>
      </c>
      <c r="N314">
        <f>ABS(sales_dataset[[#This Row],[Column4]])</f>
        <v>100</v>
      </c>
      <c r="O314">
        <f t="shared" si="4"/>
        <v>500</v>
      </c>
    </row>
    <row r="315" spans="1:15" x14ac:dyDescent="0.3">
      <c r="A315" s="1" t="s">
        <v>674</v>
      </c>
      <c r="B315" s="2">
        <v>45359</v>
      </c>
      <c r="C315" s="1" t="str">
        <f>IF(TRIM(sales_dataset[[#This Row],[SalesChannel]])="",sales_dataset!C316,PROPER(TRIM(sales_dataset[[#This Row],[SalesChannel]])))</f>
        <v>Offline</v>
      </c>
      <c r="D315" s="1" t="s">
        <v>675</v>
      </c>
      <c r="E315" s="1" t="str">
        <f>IF(TRIM(sales_dataset[[#This Row],[CustomerName]])="",sales_dataset!F321, PROPER(TRIM(sales_dataset[[#This Row],[CustomerName]])))</f>
        <v>John</v>
      </c>
      <c r="F315" s="1" t="str">
        <f>IF(TRIM(sales_dataset[[#This Row],[City]])="", sales_dataset!$H$3, PROPER(TRIM(sales_dataset[[#This Row],[City]])))</f>
        <v>Mumbai</v>
      </c>
      <c r="G315" t="str">
        <f>PROPER(sales_dataset[[#This Row],[Region cleaned]])</f>
        <v>East</v>
      </c>
      <c r="H315" t="s">
        <v>125</v>
      </c>
      <c r="I315" t="str">
        <f>IF(TRIM(sales_dataset[[#This Row],[SalespersonName]])="",I318,PROPER(TRIM(sales_dataset[[#This Row],[SalespersonName]])))</f>
        <v>Megha</v>
      </c>
      <c r="J315" s="1" t="s">
        <v>22</v>
      </c>
      <c r="K315" s="1" t="str">
        <f>PROPER(sales_dataset[[#This Row],[ProductCategory cleaned]])</f>
        <v>Electronics</v>
      </c>
      <c r="L315" s="1" t="str">
        <f>PROPER(sales_dataset[[#This Row],[ProductName]])</f>
        <v>Laptop</v>
      </c>
      <c r="M315">
        <f>ABS(sales_dataset!W:W)</f>
        <v>3</v>
      </c>
      <c r="N315">
        <f>ABS(sales_dataset[[#This Row],[Column4]])</f>
        <v>500</v>
      </c>
      <c r="O315">
        <f t="shared" si="4"/>
        <v>1500</v>
      </c>
    </row>
    <row r="316" spans="1:15" x14ac:dyDescent="0.3">
      <c r="A316" s="1" t="s">
        <v>676</v>
      </c>
      <c r="B316" s="2">
        <v>45470</v>
      </c>
      <c r="C316" s="1" t="str">
        <f>IF(TRIM(sales_dataset[[#This Row],[SalesChannel]])="",sales_dataset!C317,PROPER(TRIM(sales_dataset[[#This Row],[SalesChannel]])))</f>
        <v>Store</v>
      </c>
      <c r="D316" s="1" t="s">
        <v>529</v>
      </c>
      <c r="E316" s="1" t="str">
        <f>IF(TRIM(sales_dataset[[#This Row],[CustomerName]])="",sales_dataset!F322, PROPER(TRIM(sales_dataset[[#This Row],[CustomerName]])))</f>
        <v>David</v>
      </c>
      <c r="F316" s="1" t="str">
        <f>IF(TRIM(sales_dataset[[#This Row],[City]])="", sales_dataset!$H$3, PROPER(TRIM(sales_dataset[[#This Row],[City]])))</f>
        <v>Bengaluru</v>
      </c>
      <c r="G316" t="str">
        <f>PROPER(sales_dataset[[#This Row],[Region cleaned]])</f>
        <v>East</v>
      </c>
      <c r="H316" t="s">
        <v>209</v>
      </c>
      <c r="I316" t="str">
        <f>IF(TRIM(sales_dataset[[#This Row],[SalespersonName]])="",I319,PROPER(TRIM(sales_dataset[[#This Row],[SalespersonName]])))</f>
        <v>Megha</v>
      </c>
      <c r="J316" s="1" t="s">
        <v>327</v>
      </c>
      <c r="K316" s="1" t="str">
        <f>PROPER(sales_dataset[[#This Row],[ProductCategory cleaned]])</f>
        <v>Electronics</v>
      </c>
      <c r="L316" s="1" t="str">
        <f>PROPER(sales_dataset[[#This Row],[ProductName]])</f>
        <v/>
      </c>
      <c r="M316">
        <f>ABS(sales_dataset!W:W)</f>
        <v>1</v>
      </c>
      <c r="N316">
        <f>ABS(sales_dataset[[#This Row],[Column4]])</f>
        <v>2500</v>
      </c>
      <c r="O316">
        <f t="shared" si="4"/>
        <v>2500</v>
      </c>
    </row>
    <row r="317" spans="1:15" x14ac:dyDescent="0.3">
      <c r="A317" s="1" t="s">
        <v>677</v>
      </c>
      <c r="B317" s="2">
        <v>45327</v>
      </c>
      <c r="C317" s="1" t="str">
        <f>IF(TRIM(sales_dataset[[#This Row],[SalesChannel]])="",sales_dataset!C318,PROPER(TRIM(sales_dataset[[#This Row],[SalesChannel]])))</f>
        <v>Store</v>
      </c>
      <c r="D317" s="1" t="s">
        <v>180</v>
      </c>
      <c r="E317" s="1" t="str">
        <f>IF(TRIM(sales_dataset[[#This Row],[CustomerName]])="",sales_dataset!F323, PROPER(TRIM(sales_dataset[[#This Row],[CustomerName]])))</f>
        <v>Priya</v>
      </c>
      <c r="F317" s="1" t="str">
        <f>IF(TRIM(sales_dataset[[#This Row],[City]])="", sales_dataset!$H$3, PROPER(TRIM(sales_dataset[[#This Row],[City]])))</f>
        <v>Mumbai</v>
      </c>
      <c r="G317" t="str">
        <f>PROPER(sales_dataset[[#This Row],[Region cleaned]])</f>
        <v>West</v>
      </c>
      <c r="H317" t="s">
        <v>29</v>
      </c>
      <c r="I317" t="str">
        <f>IF(TRIM(sales_dataset[[#This Row],[SalespersonName]])="",I320,PROPER(TRIM(sales_dataset[[#This Row],[SalespersonName]])))</f>
        <v>Kevin</v>
      </c>
      <c r="J317" s="1" t="s">
        <v>187</v>
      </c>
      <c r="K317" s="1" t="str">
        <f>PROPER(sales_dataset[[#This Row],[ProductCategory cleaned]])</f>
        <v>Clothing</v>
      </c>
      <c r="L317" s="1" t="str">
        <f>PROPER(sales_dataset[[#This Row],[ProductName]])</f>
        <v>Sofa</v>
      </c>
      <c r="M317">
        <f>ABS(sales_dataset!W:W)</f>
        <v>5</v>
      </c>
      <c r="N317">
        <f>ABS(sales_dataset[[#This Row],[Column4]])</f>
        <v>1500</v>
      </c>
      <c r="O317">
        <f t="shared" si="4"/>
        <v>7500</v>
      </c>
    </row>
    <row r="318" spans="1:15" x14ac:dyDescent="0.3">
      <c r="A318" s="1" t="s">
        <v>678</v>
      </c>
      <c r="B318" s="2">
        <v>45417</v>
      </c>
      <c r="C318" s="1" t="str">
        <f>IF(TRIM(sales_dataset[[#This Row],[SalesChannel]])="",sales_dataset!C319,PROPER(TRIM(sales_dataset[[#This Row],[SalesChannel]])))</f>
        <v>Online</v>
      </c>
      <c r="D318" s="1" t="s">
        <v>331</v>
      </c>
      <c r="E318" s="1" t="str">
        <f>IF(TRIM(sales_dataset[[#This Row],[CustomerName]])="",sales_dataset!F324, PROPER(TRIM(sales_dataset[[#This Row],[CustomerName]])))</f>
        <v>Priya</v>
      </c>
      <c r="F318" s="1" t="str">
        <f>IF(TRIM(sales_dataset[[#This Row],[City]])="", sales_dataset!$H$3, PROPER(TRIM(sales_dataset[[#This Row],[City]])))</f>
        <v>Chennai</v>
      </c>
      <c r="G318" t="str">
        <f>PROPER(sales_dataset[[#This Row],[Region cleaned]])</f>
        <v>North</v>
      </c>
      <c r="H318" t="s">
        <v>318</v>
      </c>
      <c r="I318" t="str">
        <f>IF(TRIM(sales_dataset[[#This Row],[SalespersonName]])="",I321,PROPER(TRIM(sales_dataset[[#This Row],[SalespersonName]])))</f>
        <v>Sam</v>
      </c>
      <c r="J318" s="1" t="s">
        <v>455</v>
      </c>
      <c r="K318" s="1" t="str">
        <f>PROPER(sales_dataset[[#This Row],[ProductCategory cleaned]])</f>
        <v>Home</v>
      </c>
      <c r="L318" s="1" t="str">
        <f>PROPER(sales_dataset[[#This Row],[ProductName]])</f>
        <v>Watch</v>
      </c>
      <c r="M318">
        <f>ABS(sales_dataset!W:W)</f>
        <v>1</v>
      </c>
      <c r="N318">
        <f>ABS(sales_dataset[[#This Row],[Column4]])</f>
        <v>1500</v>
      </c>
      <c r="O318">
        <f t="shared" si="4"/>
        <v>1500</v>
      </c>
    </row>
    <row r="319" spans="1:15" x14ac:dyDescent="0.3">
      <c r="A319" s="1" t="s">
        <v>679</v>
      </c>
      <c r="B319" s="2">
        <v>45481</v>
      </c>
      <c r="C319" s="1" t="str">
        <f>IF(TRIM(sales_dataset[[#This Row],[SalesChannel]])="",sales_dataset!C320,PROPER(TRIM(sales_dataset[[#This Row],[SalesChannel]])))</f>
        <v>Online</v>
      </c>
      <c r="D319" s="1" t="s">
        <v>313</v>
      </c>
      <c r="E319" s="1" t="str">
        <f>IF(TRIM(sales_dataset[[#This Row],[CustomerName]])="",sales_dataset!F325, PROPER(TRIM(sales_dataset[[#This Row],[CustomerName]])))</f>
        <v>John</v>
      </c>
      <c r="F319" s="1" t="str">
        <f>IF(TRIM(sales_dataset[[#This Row],[City]])="", sales_dataset!$H$3, PROPER(TRIM(sales_dataset[[#This Row],[City]])))</f>
        <v>Delhi</v>
      </c>
      <c r="G319" t="str">
        <f>PROPER(sales_dataset[[#This Row],[Region cleaned]])</f>
        <v>North</v>
      </c>
      <c r="H319" t="s">
        <v>99</v>
      </c>
      <c r="I319" t="str">
        <f>IF(TRIM(sales_dataset[[#This Row],[SalespersonName]])="",I322,PROPER(TRIM(sales_dataset[[#This Row],[SalespersonName]])))</f>
        <v>Anita</v>
      </c>
      <c r="J319" s="1" t="s">
        <v>174</v>
      </c>
      <c r="K319" s="1" t="str">
        <f>PROPER(sales_dataset[[#This Row],[ProductCategory cleaned]])</f>
        <v>Clothing</v>
      </c>
      <c r="L319" s="1" t="str">
        <f>PROPER(sales_dataset[[#This Row],[ProductName]])</f>
        <v>Watch</v>
      </c>
      <c r="M319">
        <f>ABS(sales_dataset!W:W)</f>
        <v>5</v>
      </c>
      <c r="N319">
        <f>ABS(sales_dataset[[#This Row],[Column4]])</f>
        <v>1500</v>
      </c>
      <c r="O319">
        <f t="shared" si="4"/>
        <v>7500</v>
      </c>
    </row>
    <row r="320" spans="1:15" x14ac:dyDescent="0.3">
      <c r="A320" s="1" t="s">
        <v>680</v>
      </c>
      <c r="B320" s="2">
        <v>45437</v>
      </c>
      <c r="C320" s="1" t="str">
        <f>IF(TRIM(sales_dataset[[#This Row],[SalesChannel]])="",sales_dataset!C321,PROPER(TRIM(sales_dataset[[#This Row],[SalesChannel]])))</f>
        <v>Online</v>
      </c>
      <c r="D320" s="1" t="s">
        <v>26</v>
      </c>
      <c r="E320" s="1" t="str">
        <f>IF(TRIM(sales_dataset[[#This Row],[CustomerName]])="",sales_dataset!F326, PROPER(TRIM(sales_dataset[[#This Row],[CustomerName]])))</f>
        <v>Priya</v>
      </c>
      <c r="F320" s="1" t="str">
        <f>IF(TRIM(sales_dataset[[#This Row],[City]])="", sales_dataset!$H$3, PROPER(TRIM(sales_dataset[[#This Row],[City]])))</f>
        <v>Mumbai</v>
      </c>
      <c r="G320" t="str">
        <f>PROPER(sales_dataset[[#This Row],[Region cleaned]])</f>
        <v>South</v>
      </c>
      <c r="H320" t="s">
        <v>55</v>
      </c>
      <c r="I320" t="str">
        <f>IF(TRIM(sales_dataset[[#This Row],[SalespersonName]])="",I323,PROPER(TRIM(sales_dataset[[#This Row],[SalespersonName]])))</f>
        <v>Kevin</v>
      </c>
      <c r="J320" s="1" t="s">
        <v>187</v>
      </c>
      <c r="K320" s="1" t="str">
        <f>PROPER(sales_dataset[[#This Row],[ProductCategory cleaned]])</f>
        <v>Clothing</v>
      </c>
      <c r="L320" s="1" t="str">
        <f>PROPER(sales_dataset[[#This Row],[ProductName]])</f>
        <v>Shirt</v>
      </c>
      <c r="M320">
        <f>ABS(sales_dataset!W:W)</f>
        <v>5</v>
      </c>
      <c r="N320">
        <f>ABS(sales_dataset[[#This Row],[Column4]])</f>
        <v>1500</v>
      </c>
      <c r="O320">
        <f t="shared" si="4"/>
        <v>7500</v>
      </c>
    </row>
    <row r="321" spans="1:15" x14ac:dyDescent="0.3">
      <c r="A321" s="1" t="s">
        <v>681</v>
      </c>
      <c r="B321" s="2">
        <v>45372</v>
      </c>
      <c r="C321" s="1" t="str">
        <f>IF(TRIM(sales_dataset[[#This Row],[SalesChannel]])="",sales_dataset!C322,PROPER(TRIM(sales_dataset[[#This Row],[SalesChannel]])))</f>
        <v>Offline</v>
      </c>
      <c r="D321" s="1" t="s">
        <v>682</v>
      </c>
      <c r="E321" s="1" t="str">
        <f>IF(TRIM(sales_dataset[[#This Row],[CustomerName]])="",sales_dataset!F327, PROPER(TRIM(sales_dataset[[#This Row],[CustomerName]])))</f>
        <v>Amit</v>
      </c>
      <c r="F321" s="1" t="str">
        <f>IF(TRIM(sales_dataset[[#This Row],[City]])="", sales_dataset!$H$3, PROPER(TRIM(sales_dataset[[#This Row],[City]])))</f>
        <v>Delhi</v>
      </c>
      <c r="G321" t="str">
        <f>PROPER(sales_dataset[[#This Row],[Region cleaned]])</f>
        <v>North</v>
      </c>
      <c r="H321" t="s">
        <v>212</v>
      </c>
      <c r="I321" t="str">
        <f>IF(TRIM(sales_dataset[[#This Row],[SalespersonName]])="",I324,PROPER(TRIM(sales_dataset[[#This Row],[SalespersonName]])))</f>
        <v>Raj</v>
      </c>
      <c r="J321" s="1" t="s">
        <v>242</v>
      </c>
      <c r="K321" s="1" t="str">
        <f>PROPER(sales_dataset[[#This Row],[ProductCategory cleaned]])</f>
        <v>Home</v>
      </c>
      <c r="L321" s="1" t="str">
        <f>PROPER(sales_dataset[[#This Row],[ProductName]])</f>
        <v>Shirt</v>
      </c>
      <c r="M321">
        <f>ABS(sales_dataset!W:W)</f>
        <v>1</v>
      </c>
      <c r="N321">
        <f>ABS(sales_dataset[[#This Row],[Column4]])</f>
        <v>100</v>
      </c>
      <c r="O321">
        <f t="shared" si="4"/>
        <v>100</v>
      </c>
    </row>
    <row r="322" spans="1:15" x14ac:dyDescent="0.3">
      <c r="A322" s="1" t="s">
        <v>683</v>
      </c>
      <c r="B322" s="2">
        <v>45516</v>
      </c>
      <c r="C322" s="1" t="str">
        <f>IF(TRIM(sales_dataset[[#This Row],[SalesChannel]])="",sales_dataset!C323,PROPER(TRIM(sales_dataset[[#This Row],[SalesChannel]])))</f>
        <v>Store</v>
      </c>
      <c r="D322" s="1" t="s">
        <v>672</v>
      </c>
      <c r="E322" s="1" t="str">
        <f>IF(TRIM(sales_dataset[[#This Row],[CustomerName]])="",sales_dataset!F328, PROPER(TRIM(sales_dataset[[#This Row],[CustomerName]])))</f>
        <v>Priya</v>
      </c>
      <c r="F322" s="1" t="str">
        <f>IF(TRIM(sales_dataset[[#This Row],[City]])="", sales_dataset!$H$3, PROPER(TRIM(sales_dataset[[#This Row],[City]])))</f>
        <v>Chennai</v>
      </c>
      <c r="G322" t="str">
        <f>PROPER(sales_dataset[[#This Row],[Region cleaned]])</f>
        <v>East</v>
      </c>
      <c r="H322" t="s">
        <v>224</v>
      </c>
      <c r="I322" t="str">
        <f>IF(TRIM(sales_dataset[[#This Row],[SalespersonName]])="",I325,PROPER(TRIM(sales_dataset[[#This Row],[SalespersonName]])))</f>
        <v>Raj</v>
      </c>
      <c r="J322" s="1" t="s">
        <v>467</v>
      </c>
      <c r="K322" s="1" t="str">
        <f>PROPER(sales_dataset[[#This Row],[ProductCategory cleaned]])</f>
        <v>Home</v>
      </c>
      <c r="L322" s="1" t="str">
        <f>PROPER(sales_dataset[[#This Row],[ProductName]])</f>
        <v>Laptop</v>
      </c>
      <c r="M322">
        <f>ABS(sales_dataset!W:W)</f>
        <v>1</v>
      </c>
      <c r="N322">
        <f>ABS(sales_dataset[[#This Row],[Column4]])</f>
        <v>2500</v>
      </c>
      <c r="O322">
        <f t="shared" si="4"/>
        <v>2500</v>
      </c>
    </row>
    <row r="323" spans="1:15" x14ac:dyDescent="0.3">
      <c r="A323" s="1" t="s">
        <v>684</v>
      </c>
      <c r="B323" s="2">
        <v>45570</v>
      </c>
      <c r="C323" s="1" t="str">
        <f>IF(TRIM(sales_dataset[[#This Row],[SalesChannel]])="",sales_dataset!C324,PROPER(TRIM(sales_dataset[[#This Row],[SalesChannel]])))</f>
        <v>Store</v>
      </c>
      <c r="D323" s="1" t="s">
        <v>470</v>
      </c>
      <c r="E323" s="1" t="str">
        <f>IF(TRIM(sales_dataset[[#This Row],[CustomerName]])="",sales_dataset!F329, PROPER(TRIM(sales_dataset[[#This Row],[CustomerName]])))</f>
        <v>Priya</v>
      </c>
      <c r="F323" s="1" t="str">
        <f>IF(TRIM(sales_dataset[[#This Row],[City]])="", sales_dataset!$H$3, PROPER(TRIM(sales_dataset[[#This Row],[City]])))</f>
        <v>Hyderabad</v>
      </c>
      <c r="G323" t="str">
        <f>PROPER(sales_dataset[[#This Row],[Region cleaned]])</f>
        <v>West</v>
      </c>
      <c r="H323" t="s">
        <v>350</v>
      </c>
      <c r="I323" t="str">
        <f>IF(TRIM(sales_dataset[[#This Row],[SalespersonName]])="",I326,PROPER(TRIM(sales_dataset[[#This Row],[SalespersonName]])))</f>
        <v>Sam</v>
      </c>
      <c r="J323" s="1" t="s">
        <v>94</v>
      </c>
      <c r="K323" s="1" t="str">
        <f>PROPER(sales_dataset[[#This Row],[ProductCategory cleaned]])</f>
        <v>Electronics</v>
      </c>
      <c r="L323" s="1" t="str">
        <f>PROPER(sales_dataset[[#This Row],[ProductName]])</f>
        <v/>
      </c>
      <c r="M323">
        <f>ABS(sales_dataset!W:W)</f>
        <v>5</v>
      </c>
      <c r="N323">
        <f>ABS(sales_dataset[[#This Row],[Column4]])</f>
        <v>100</v>
      </c>
      <c r="O323">
        <f t="shared" ref="O323:O386" si="5">M323*N323</f>
        <v>500</v>
      </c>
    </row>
    <row r="324" spans="1:15" x14ac:dyDescent="0.3">
      <c r="A324" s="1" t="s">
        <v>685</v>
      </c>
      <c r="B324" s="2">
        <v>45446</v>
      </c>
      <c r="C324" s="1" t="str">
        <f>IF(TRIM(sales_dataset[[#This Row],[SalesChannel]])="",sales_dataset!C325,PROPER(TRIM(sales_dataset[[#This Row],[SalesChannel]])))</f>
        <v>Online</v>
      </c>
      <c r="D324" s="1" t="s">
        <v>686</v>
      </c>
      <c r="E324" s="1" t="str">
        <f>IF(TRIM(sales_dataset[[#This Row],[CustomerName]])="",sales_dataset!F330, PROPER(TRIM(sales_dataset[[#This Row],[CustomerName]])))</f>
        <v>Amit</v>
      </c>
      <c r="F324" s="1" t="str">
        <f>IF(TRIM(sales_dataset[[#This Row],[City]])="", sales_dataset!$H$3, PROPER(TRIM(sales_dataset[[#This Row],[City]])))</f>
        <v>Chennai</v>
      </c>
      <c r="G324" t="str">
        <f>PROPER(sales_dataset[[#This Row],[Region cleaned]])</f>
        <v>East</v>
      </c>
      <c r="H324" t="s">
        <v>148</v>
      </c>
      <c r="I324" t="str">
        <f>IF(TRIM(sales_dataset[[#This Row],[SalespersonName]])="",I327,PROPER(TRIM(sales_dataset[[#This Row],[SalespersonName]])))</f>
        <v>Kevin</v>
      </c>
      <c r="J324" s="1" t="s">
        <v>108</v>
      </c>
      <c r="K324" s="1" t="str">
        <f>PROPER(sales_dataset[[#This Row],[ProductCategory cleaned]])</f>
        <v>Clothing</v>
      </c>
      <c r="L324" s="1" t="str">
        <f>PROPER(sales_dataset[[#This Row],[ProductName]])</f>
        <v>Shirt</v>
      </c>
      <c r="M324">
        <f>ABS(sales_dataset!W:W)</f>
        <v>5</v>
      </c>
      <c r="N324">
        <f>ABS(sales_dataset[[#This Row],[Column4]])</f>
        <v>2000</v>
      </c>
      <c r="O324">
        <f t="shared" si="5"/>
        <v>10000</v>
      </c>
    </row>
    <row r="325" spans="1:15" x14ac:dyDescent="0.3">
      <c r="A325" s="1" t="s">
        <v>687</v>
      </c>
      <c r="B325" s="2">
        <v>45562</v>
      </c>
      <c r="C325" s="1" t="str">
        <f>IF(TRIM(sales_dataset[[#This Row],[SalesChannel]])="",sales_dataset!C326,PROPER(TRIM(sales_dataset[[#This Row],[SalesChannel]])))</f>
        <v>Online</v>
      </c>
      <c r="D325" s="1" t="s">
        <v>577</v>
      </c>
      <c r="E325" s="1" t="str">
        <f>IF(TRIM(sales_dataset[[#This Row],[CustomerName]])="",sales_dataset!F331, PROPER(TRIM(sales_dataset[[#This Row],[CustomerName]])))</f>
        <v>John</v>
      </c>
      <c r="F325" s="1" t="str">
        <f>IF(TRIM(sales_dataset[[#This Row],[City]])="", sales_dataset!$H$3, PROPER(TRIM(sales_dataset[[#This Row],[City]])))</f>
        <v>Hyderabad</v>
      </c>
      <c r="G325" t="str">
        <f>PROPER(sales_dataset[[#This Row],[Region cleaned]])</f>
        <v>South</v>
      </c>
      <c r="H325" t="s">
        <v>237</v>
      </c>
      <c r="I325" t="str">
        <f>IF(TRIM(sales_dataset[[#This Row],[SalespersonName]])="",I328,PROPER(TRIM(sales_dataset[[#This Row],[SalespersonName]])))</f>
        <v>Sam</v>
      </c>
      <c r="J325" s="1" t="s">
        <v>108</v>
      </c>
      <c r="K325" s="1" t="str">
        <f>PROPER(sales_dataset[[#This Row],[ProductCategory cleaned]])</f>
        <v>Electronics</v>
      </c>
      <c r="L325" s="1" t="str">
        <f>PROPER(sales_dataset[[#This Row],[ProductName]])</f>
        <v>Shirt</v>
      </c>
      <c r="M325">
        <f>ABS(sales_dataset!W:W)</f>
        <v>5</v>
      </c>
      <c r="N325">
        <f>ABS(sales_dataset[[#This Row],[Column4]])</f>
        <v>100</v>
      </c>
      <c r="O325">
        <f t="shared" si="5"/>
        <v>500</v>
      </c>
    </row>
    <row r="326" spans="1:15" x14ac:dyDescent="0.3">
      <c r="A326" s="1" t="s">
        <v>688</v>
      </c>
      <c r="B326" s="2">
        <v>45296</v>
      </c>
      <c r="C326" s="1" t="str">
        <f>IF(TRIM(sales_dataset[[#This Row],[SalesChannel]])="",sales_dataset!C327,PROPER(TRIM(sales_dataset[[#This Row],[SalesChannel]])))</f>
        <v>Online</v>
      </c>
      <c r="D326" s="1" t="s">
        <v>200</v>
      </c>
      <c r="E326" s="1" t="str">
        <f>IF(TRIM(sales_dataset[[#This Row],[CustomerName]])="",sales_dataset!F332, PROPER(TRIM(sales_dataset[[#This Row],[CustomerName]])))</f>
        <v>Priya</v>
      </c>
      <c r="F326" s="1" t="str">
        <f>IF(TRIM(sales_dataset[[#This Row],[City]])="", sales_dataset!$H$3, PROPER(TRIM(sales_dataset[[#This Row],[City]])))</f>
        <v>Mumbai</v>
      </c>
      <c r="G326" t="str">
        <f>PROPER(sales_dataset[[#This Row],[Region cleaned]])</f>
        <v>East</v>
      </c>
      <c r="H326" t="s">
        <v>152</v>
      </c>
      <c r="I326" t="str">
        <f>IF(TRIM(sales_dataset[[#This Row],[SalespersonName]])="",I329,PROPER(TRIM(sales_dataset[[#This Row],[SalespersonName]])))</f>
        <v>Sam</v>
      </c>
      <c r="J326" s="1" t="s">
        <v>303</v>
      </c>
      <c r="K326" s="1" t="str">
        <f>PROPER(sales_dataset[[#This Row],[ProductCategory cleaned]])</f>
        <v>Electronics</v>
      </c>
      <c r="L326" s="1" t="str">
        <f>PROPER(sales_dataset[[#This Row],[ProductName]])</f>
        <v/>
      </c>
      <c r="M326">
        <f>ABS(sales_dataset!W:W)</f>
        <v>2</v>
      </c>
      <c r="N326">
        <f>ABS(sales_dataset[[#This Row],[Column4]])</f>
        <v>1500</v>
      </c>
      <c r="O326">
        <f t="shared" si="5"/>
        <v>3000</v>
      </c>
    </row>
    <row r="327" spans="1:15" x14ac:dyDescent="0.3">
      <c r="A327" s="1" t="s">
        <v>689</v>
      </c>
      <c r="B327" s="2">
        <v>45575</v>
      </c>
      <c r="C327" s="1" t="str">
        <f>IF(TRIM(sales_dataset[[#This Row],[SalesChannel]])="",sales_dataset!C328,PROPER(TRIM(sales_dataset[[#This Row],[SalesChannel]])))</f>
        <v>Offline</v>
      </c>
      <c r="D327" s="1" t="s">
        <v>367</v>
      </c>
      <c r="E327" s="1" t="str">
        <f>IF(TRIM(sales_dataset[[#This Row],[CustomerName]])="",sales_dataset!F333, PROPER(TRIM(sales_dataset[[#This Row],[CustomerName]])))</f>
        <v>Amit</v>
      </c>
      <c r="F327" s="1" t="str">
        <f>IF(TRIM(sales_dataset[[#This Row],[City]])="", sales_dataset!$H$3, PROPER(TRIM(sales_dataset[[#This Row],[City]])))</f>
        <v>Chennai</v>
      </c>
      <c r="G327" t="str">
        <f>PROPER(sales_dataset[[#This Row],[Region cleaned]])</f>
        <v>South</v>
      </c>
      <c r="H327" t="s">
        <v>55</v>
      </c>
      <c r="I327" t="str">
        <f>IF(TRIM(sales_dataset[[#This Row],[SalespersonName]])="",I330,PROPER(TRIM(sales_dataset[[#This Row],[SalespersonName]])))</f>
        <v>Kevin</v>
      </c>
      <c r="J327" s="1" t="s">
        <v>624</v>
      </c>
      <c r="K327" s="1" t="str">
        <f>PROPER(sales_dataset[[#This Row],[ProductCategory cleaned]])</f>
        <v>Electronics</v>
      </c>
      <c r="L327" s="1" t="str">
        <f>PROPER(sales_dataset[[#This Row],[ProductName]])</f>
        <v>Shirt</v>
      </c>
      <c r="M327">
        <f>ABS(sales_dataset!W:W)</f>
        <v>0</v>
      </c>
      <c r="N327">
        <f>ABS(sales_dataset[[#This Row],[Column4]])</f>
        <v>2000</v>
      </c>
      <c r="O327">
        <f t="shared" si="5"/>
        <v>0</v>
      </c>
    </row>
    <row r="328" spans="1:15" x14ac:dyDescent="0.3">
      <c r="A328" s="1" t="s">
        <v>690</v>
      </c>
      <c r="B328" s="2">
        <v>45445</v>
      </c>
      <c r="C328" s="1" t="str">
        <f>IF(TRIM(sales_dataset[[#This Row],[SalesChannel]])="",sales_dataset!C329,PROPER(TRIM(sales_dataset[[#This Row],[SalesChannel]])))</f>
        <v>Store</v>
      </c>
      <c r="D328" s="1" t="s">
        <v>691</v>
      </c>
      <c r="E328" s="1" t="str">
        <f>IF(TRIM(sales_dataset[[#This Row],[CustomerName]])="",sales_dataset!F334, PROPER(TRIM(sales_dataset[[#This Row],[CustomerName]])))</f>
        <v>Priya</v>
      </c>
      <c r="F328" s="1" t="str">
        <f>IF(TRIM(sales_dataset[[#This Row],[City]])="", sales_dataset!$H$3, PROPER(TRIM(sales_dataset[[#This Row],[City]])))</f>
        <v>Delhi</v>
      </c>
      <c r="G328" t="str">
        <f>PROPER(sales_dataset[[#This Row],[Region cleaned]])</f>
        <v>North</v>
      </c>
      <c r="H328" t="s">
        <v>67</v>
      </c>
      <c r="I328" t="str">
        <f>IF(TRIM(sales_dataset[[#This Row],[SalespersonName]])="",I331,PROPER(TRIM(sales_dataset[[#This Row],[SalespersonName]])))</f>
        <v>Raj</v>
      </c>
      <c r="J328" s="1" t="s">
        <v>288</v>
      </c>
      <c r="K328" s="1" t="str">
        <f>PROPER(sales_dataset[[#This Row],[ProductCategory cleaned]])</f>
        <v>Electronics</v>
      </c>
      <c r="L328" s="1" t="str">
        <f>PROPER(sales_dataset[[#This Row],[ProductName]])</f>
        <v>Tv</v>
      </c>
      <c r="M328">
        <f>ABS(sales_dataset!W:W)</f>
        <v>1</v>
      </c>
      <c r="N328">
        <f>ABS(sales_dataset[[#This Row],[Column4]])</f>
        <v>100</v>
      </c>
      <c r="O328">
        <f t="shared" si="5"/>
        <v>100</v>
      </c>
    </row>
    <row r="329" spans="1:15" x14ac:dyDescent="0.3">
      <c r="A329" s="1" t="s">
        <v>692</v>
      </c>
      <c r="B329" s="2">
        <v>45345</v>
      </c>
      <c r="C329" s="1" t="str">
        <f>IF(TRIM(sales_dataset[[#This Row],[SalesChannel]])="",sales_dataset!C330,PROPER(TRIM(sales_dataset[[#This Row],[SalesChannel]])))</f>
        <v>Store</v>
      </c>
      <c r="D329" s="1" t="s">
        <v>415</v>
      </c>
      <c r="E329" s="1" t="str">
        <f>IF(TRIM(sales_dataset[[#This Row],[CustomerName]])="",sales_dataset!F335, PROPER(TRIM(sales_dataset[[#This Row],[CustomerName]])))</f>
        <v>Priya</v>
      </c>
      <c r="F329" s="1" t="str">
        <f>IF(TRIM(sales_dataset[[#This Row],[City]])="", sales_dataset!$H$3, PROPER(TRIM(sales_dataset[[#This Row],[City]])))</f>
        <v>Bengaluru</v>
      </c>
      <c r="G329" t="str">
        <f>PROPER(sales_dataset[[#This Row],[Region cleaned]])</f>
        <v>North</v>
      </c>
      <c r="H329" t="s">
        <v>136</v>
      </c>
      <c r="I329" t="str">
        <f>IF(TRIM(sales_dataset[[#This Row],[SalespersonName]])="",I332,PROPER(TRIM(sales_dataset[[#This Row],[SalespersonName]])))</f>
        <v>Megha</v>
      </c>
      <c r="J329" s="1" t="s">
        <v>123</v>
      </c>
      <c r="K329" s="1" t="str">
        <f>PROPER(sales_dataset[[#This Row],[ProductCategory cleaned]])</f>
        <v>Clothing</v>
      </c>
      <c r="L329" s="1" t="str">
        <f>PROPER(sales_dataset[[#This Row],[ProductName]])</f>
        <v>Shirt</v>
      </c>
      <c r="M329">
        <f>ABS(sales_dataset!W:W)</f>
        <v>3</v>
      </c>
      <c r="N329">
        <f>ABS(sales_dataset[[#This Row],[Column4]])</f>
        <v>100</v>
      </c>
      <c r="O329">
        <f t="shared" si="5"/>
        <v>300</v>
      </c>
    </row>
    <row r="330" spans="1:15" x14ac:dyDescent="0.3">
      <c r="A330" s="1" t="s">
        <v>693</v>
      </c>
      <c r="B330" s="2">
        <v>45360</v>
      </c>
      <c r="C330" s="1" t="str">
        <f>IF(TRIM(sales_dataset[[#This Row],[SalesChannel]])="",sales_dataset!C331,PROPER(TRIM(sales_dataset[[#This Row],[SalesChannel]])))</f>
        <v>Online</v>
      </c>
      <c r="D330" s="1" t="s">
        <v>694</v>
      </c>
      <c r="E330" s="1" t="str">
        <f>IF(TRIM(sales_dataset[[#This Row],[CustomerName]])="",sales_dataset!F336, PROPER(TRIM(sales_dataset[[#This Row],[CustomerName]])))</f>
        <v>Amit</v>
      </c>
      <c r="F330" s="1" t="str">
        <f>IF(TRIM(sales_dataset[[#This Row],[City]])="", sales_dataset!$H$3, PROPER(TRIM(sales_dataset[[#This Row],[City]])))</f>
        <v>Mumbai</v>
      </c>
      <c r="G330" t="str">
        <f>PROPER(sales_dataset[[#This Row],[Region cleaned]])</f>
        <v>West</v>
      </c>
      <c r="H330" t="s">
        <v>61</v>
      </c>
      <c r="I330" t="str">
        <f>IF(TRIM(sales_dataset[[#This Row],[SalespersonName]])="",I333,PROPER(TRIM(sales_dataset[[#This Row],[SalespersonName]])))</f>
        <v>Kevin</v>
      </c>
      <c r="J330" s="1" t="s">
        <v>279</v>
      </c>
      <c r="K330" s="1" t="str">
        <f>PROPER(sales_dataset[[#This Row],[ProductCategory cleaned]])</f>
        <v>Home</v>
      </c>
      <c r="L330" s="1" t="str">
        <f>PROPER(sales_dataset[[#This Row],[ProductName]])</f>
        <v>Tv</v>
      </c>
      <c r="M330">
        <f>ABS(sales_dataset!W:W)</f>
        <v>5</v>
      </c>
      <c r="N330">
        <f>ABS(sales_dataset[[#This Row],[Column4]])</f>
        <v>100</v>
      </c>
      <c r="O330">
        <f t="shared" si="5"/>
        <v>500</v>
      </c>
    </row>
    <row r="331" spans="1:15" x14ac:dyDescent="0.3">
      <c r="A331" s="1" t="s">
        <v>695</v>
      </c>
      <c r="B331" s="2">
        <v>45427</v>
      </c>
      <c r="C331" s="1" t="str">
        <f>IF(TRIM(sales_dataset[[#This Row],[SalesChannel]])="",sales_dataset!C332,PROPER(TRIM(sales_dataset[[#This Row],[SalesChannel]])))</f>
        <v>Online</v>
      </c>
      <c r="D331" s="1" t="s">
        <v>139</v>
      </c>
      <c r="E331" s="1" t="str">
        <f>IF(TRIM(sales_dataset[[#This Row],[CustomerName]])="",sales_dataset!F337, PROPER(TRIM(sales_dataset[[#This Row],[CustomerName]])))</f>
        <v>Priya</v>
      </c>
      <c r="F331" s="1" t="str">
        <f>IF(TRIM(sales_dataset[[#This Row],[City]])="", sales_dataset!$H$3, PROPER(TRIM(sales_dataset[[#This Row],[City]])))</f>
        <v>Bengaluru</v>
      </c>
      <c r="G331" t="str">
        <f>PROPER(sales_dataset[[#This Row],[Region cleaned]])</f>
        <v>South</v>
      </c>
      <c r="H331" t="s">
        <v>318</v>
      </c>
      <c r="I331" t="str">
        <f>IF(TRIM(sales_dataset[[#This Row],[SalespersonName]])="",I334,PROPER(TRIM(sales_dataset[[#This Row],[SalespersonName]])))</f>
        <v>Raj</v>
      </c>
      <c r="J331" s="1" t="s">
        <v>130</v>
      </c>
      <c r="K331" s="1" t="str">
        <f>PROPER(sales_dataset[[#This Row],[ProductCategory cleaned]])</f>
        <v>Electronics</v>
      </c>
      <c r="L331" s="1" t="str">
        <f>PROPER(sales_dataset[[#This Row],[ProductName]])</f>
        <v>Sofa</v>
      </c>
      <c r="M331">
        <f>ABS(sales_dataset!W:W)</f>
        <v>5</v>
      </c>
      <c r="N331">
        <f>ABS(sales_dataset[[#This Row],[Column4]])</f>
        <v>2000</v>
      </c>
      <c r="O331">
        <f t="shared" si="5"/>
        <v>10000</v>
      </c>
    </row>
    <row r="332" spans="1:15" x14ac:dyDescent="0.3">
      <c r="A332" s="1" t="s">
        <v>696</v>
      </c>
      <c r="B332" s="2">
        <v>45351</v>
      </c>
      <c r="C332" s="1" t="str">
        <f>IF(TRIM(sales_dataset[[#This Row],[SalesChannel]])="",sales_dataset!C333,PROPER(TRIM(sales_dataset[[#This Row],[SalesChannel]])))</f>
        <v>Online</v>
      </c>
      <c r="D332" s="1" t="s">
        <v>697</v>
      </c>
      <c r="E332" s="1" t="str">
        <f>IF(TRIM(sales_dataset[[#This Row],[CustomerName]])="",sales_dataset!F338, PROPER(TRIM(sales_dataset[[#This Row],[CustomerName]])))</f>
        <v>John</v>
      </c>
      <c r="F332" s="1" t="str">
        <f>IF(TRIM(sales_dataset[[#This Row],[City]])="", sales_dataset!$H$3, PROPER(TRIM(sales_dataset[[#This Row],[City]])))</f>
        <v>Delhi</v>
      </c>
      <c r="G332" t="str">
        <f>PROPER(sales_dataset[[#This Row],[Region cleaned]])</f>
        <v>West</v>
      </c>
      <c r="H332" t="s">
        <v>119</v>
      </c>
      <c r="I332" t="str">
        <f>IF(TRIM(sales_dataset[[#This Row],[SalespersonName]])="",I335,PROPER(TRIM(sales_dataset[[#This Row],[SalespersonName]])))</f>
        <v>Megha</v>
      </c>
      <c r="J332" s="1" t="s">
        <v>265</v>
      </c>
      <c r="K332" s="1" t="str">
        <f>PROPER(sales_dataset[[#This Row],[ProductCategory cleaned]])</f>
        <v>Electronics</v>
      </c>
      <c r="L332" s="1" t="str">
        <f>PROPER(sales_dataset[[#This Row],[ProductName]])</f>
        <v>Tv</v>
      </c>
      <c r="M332">
        <f>ABS(sales_dataset!W:W)</f>
        <v>0</v>
      </c>
      <c r="N332">
        <f>ABS(sales_dataset[[#This Row],[Column4]])</f>
        <v>500</v>
      </c>
      <c r="O332">
        <f t="shared" si="5"/>
        <v>0</v>
      </c>
    </row>
    <row r="333" spans="1:15" x14ac:dyDescent="0.3">
      <c r="A333" s="1" t="s">
        <v>698</v>
      </c>
      <c r="B333" s="2">
        <v>45346</v>
      </c>
      <c r="C333" s="1" t="str">
        <f>IF(TRIM(sales_dataset[[#This Row],[SalesChannel]])="",sales_dataset!C334,PROPER(TRIM(sales_dataset[[#This Row],[SalesChannel]])))</f>
        <v>Offline</v>
      </c>
      <c r="D333" s="1" t="s">
        <v>699</v>
      </c>
      <c r="E333" s="1" t="str">
        <f>IF(TRIM(sales_dataset[[#This Row],[CustomerName]])="",sales_dataset!F339, PROPER(TRIM(sales_dataset[[#This Row],[CustomerName]])))</f>
        <v>Sara</v>
      </c>
      <c r="F333" s="1" t="str">
        <f>IF(TRIM(sales_dataset[[#This Row],[City]])="", sales_dataset!$H$3, PROPER(TRIM(sales_dataset[[#This Row],[City]])))</f>
        <v>Bengaluru</v>
      </c>
      <c r="G333" t="str">
        <f>PROPER(sales_dataset[[#This Row],[Region cleaned]])</f>
        <v>North</v>
      </c>
      <c r="H333" t="s">
        <v>129</v>
      </c>
      <c r="I333" t="str">
        <f>IF(TRIM(sales_dataset[[#This Row],[SalespersonName]])="",I336,PROPER(TRIM(sales_dataset[[#This Row],[SalespersonName]])))</f>
        <v>Sam</v>
      </c>
      <c r="J333" s="1" t="s">
        <v>120</v>
      </c>
      <c r="K333" s="1" t="str">
        <f>PROPER(sales_dataset[[#This Row],[ProductCategory cleaned]])</f>
        <v>Home</v>
      </c>
      <c r="L333" s="1" t="str">
        <f>PROPER(sales_dataset[[#This Row],[ProductName]])</f>
        <v>Laptop</v>
      </c>
      <c r="M333">
        <f>ABS(sales_dataset!W:W)</f>
        <v>2</v>
      </c>
      <c r="N333">
        <f>ABS(sales_dataset[[#This Row],[Column4]])</f>
        <v>1500</v>
      </c>
      <c r="O333">
        <f t="shared" si="5"/>
        <v>3000</v>
      </c>
    </row>
    <row r="334" spans="1:15" x14ac:dyDescent="0.3">
      <c r="A334" s="1" t="s">
        <v>700</v>
      </c>
      <c r="B334" s="2">
        <v>45575</v>
      </c>
      <c r="C334" s="1" t="str">
        <f>IF(TRIM(sales_dataset[[#This Row],[SalesChannel]])="",sales_dataset!C335,PROPER(TRIM(sales_dataset[[#This Row],[SalesChannel]])))</f>
        <v>Store</v>
      </c>
      <c r="D334" s="1" t="s">
        <v>672</v>
      </c>
      <c r="E334" s="1" t="str">
        <f>IF(TRIM(sales_dataset[[#This Row],[CustomerName]])="",sales_dataset!F340, PROPER(TRIM(sales_dataset[[#This Row],[CustomerName]])))</f>
        <v>Amit</v>
      </c>
      <c r="F334" s="1" t="str">
        <f>IF(TRIM(sales_dataset[[#This Row],[City]])="", sales_dataset!$H$3, PROPER(TRIM(sales_dataset[[#This Row],[City]])))</f>
        <v>Delhi</v>
      </c>
      <c r="G334" t="str">
        <f>PROPER(sales_dataset[[#This Row],[Region cleaned]])</f>
        <v>West</v>
      </c>
      <c r="H334" t="s">
        <v>55</v>
      </c>
      <c r="I334" t="str">
        <f>IF(TRIM(sales_dataset[[#This Row],[SalespersonName]])="",I337,PROPER(TRIM(sales_dataset[[#This Row],[SalespersonName]])))</f>
        <v>Megha</v>
      </c>
      <c r="J334" s="1" t="s">
        <v>673</v>
      </c>
      <c r="K334" s="1" t="str">
        <f>PROPER(sales_dataset[[#This Row],[ProductCategory cleaned]])</f>
        <v>Electronics</v>
      </c>
      <c r="L334" s="1" t="str">
        <f>PROPER(sales_dataset[[#This Row],[ProductName]])</f>
        <v/>
      </c>
      <c r="M334">
        <f>ABS(sales_dataset!W:W)</f>
        <v>5</v>
      </c>
      <c r="N334">
        <f>ABS(sales_dataset[[#This Row],[Column4]])</f>
        <v>500</v>
      </c>
      <c r="O334">
        <f t="shared" si="5"/>
        <v>2500</v>
      </c>
    </row>
    <row r="335" spans="1:15" x14ac:dyDescent="0.3">
      <c r="A335" s="1" t="s">
        <v>701</v>
      </c>
      <c r="B335" s="2">
        <v>45371</v>
      </c>
      <c r="C335" s="1" t="str">
        <f>IF(TRIM(sales_dataset[[#This Row],[SalesChannel]])="",sales_dataset!C336,PROPER(TRIM(sales_dataset[[#This Row],[SalesChannel]])))</f>
        <v>Store</v>
      </c>
      <c r="D335" s="1" t="s">
        <v>642</v>
      </c>
      <c r="E335" s="1" t="str">
        <f>IF(TRIM(sales_dataset[[#This Row],[CustomerName]])="",sales_dataset!F341, PROPER(TRIM(sales_dataset[[#This Row],[CustomerName]])))</f>
        <v>David</v>
      </c>
      <c r="F335" s="1" t="str">
        <f>IF(TRIM(sales_dataset[[#This Row],[City]])="", sales_dataset!$H$3, PROPER(TRIM(sales_dataset[[#This Row],[City]])))</f>
        <v>Delhi</v>
      </c>
      <c r="G335" t="str">
        <f>PROPER(sales_dataset[[#This Row],[Region cleaned]])</f>
        <v>North</v>
      </c>
      <c r="H335" t="s">
        <v>212</v>
      </c>
      <c r="I335" t="str">
        <f>IF(TRIM(sales_dataset[[#This Row],[SalespersonName]])="",I338,PROPER(TRIM(sales_dataset[[#This Row],[SalespersonName]])))</f>
        <v>Kevin</v>
      </c>
      <c r="J335" s="1" t="s">
        <v>455</v>
      </c>
      <c r="K335" s="1" t="str">
        <f>PROPER(sales_dataset[[#This Row],[ProductCategory cleaned]])</f>
        <v>Electronics</v>
      </c>
      <c r="L335" s="1" t="str">
        <f>PROPER(sales_dataset[[#This Row],[ProductName]])</f>
        <v>Watch</v>
      </c>
      <c r="M335">
        <f>ABS(sales_dataset!W:W)</f>
        <v>1</v>
      </c>
      <c r="N335">
        <f>ABS(sales_dataset[[#This Row],[Column4]])</f>
        <v>1500</v>
      </c>
      <c r="O335">
        <f t="shared" si="5"/>
        <v>1500</v>
      </c>
    </row>
    <row r="336" spans="1:15" x14ac:dyDescent="0.3">
      <c r="A336" s="1" t="s">
        <v>702</v>
      </c>
      <c r="B336" s="2">
        <v>45431</v>
      </c>
      <c r="C336" s="1" t="str">
        <f>IF(TRIM(sales_dataset[[#This Row],[SalesChannel]])="",sales_dataset!C337,PROPER(TRIM(sales_dataset[[#This Row],[SalesChannel]])))</f>
        <v>Online</v>
      </c>
      <c r="D336" s="1" t="s">
        <v>703</v>
      </c>
      <c r="E336" s="1" t="str">
        <f>IF(TRIM(sales_dataset[[#This Row],[CustomerName]])="",sales_dataset!F342, PROPER(TRIM(sales_dataset[[#This Row],[CustomerName]])))</f>
        <v>Priya</v>
      </c>
      <c r="F336" s="1" t="str">
        <f>IF(TRIM(sales_dataset[[#This Row],[City]])="", sales_dataset!$H$3, PROPER(TRIM(sales_dataset[[#This Row],[City]])))</f>
        <v>Mumbai</v>
      </c>
      <c r="G336" t="str">
        <f>PROPER(sales_dataset[[#This Row],[Region cleaned]])</f>
        <v>North</v>
      </c>
      <c r="H336" t="s">
        <v>241</v>
      </c>
      <c r="I336" t="str">
        <f>IF(TRIM(sales_dataset[[#This Row],[SalespersonName]])="",I339,PROPER(TRIM(sales_dataset[[#This Row],[SalespersonName]])))</f>
        <v>Anita</v>
      </c>
      <c r="J336" s="1" t="s">
        <v>580</v>
      </c>
      <c r="K336" s="1" t="str">
        <f>PROPER(sales_dataset[[#This Row],[ProductCategory cleaned]])</f>
        <v>Electronics</v>
      </c>
      <c r="L336" s="1" t="str">
        <f>PROPER(sales_dataset[[#This Row],[ProductName]])</f>
        <v/>
      </c>
      <c r="M336">
        <f>ABS(sales_dataset!W:W)</f>
        <v>4</v>
      </c>
      <c r="N336">
        <f>ABS(sales_dataset[[#This Row],[Column4]])</f>
        <v>500</v>
      </c>
      <c r="O336">
        <f t="shared" si="5"/>
        <v>2000</v>
      </c>
    </row>
    <row r="337" spans="1:15" x14ac:dyDescent="0.3">
      <c r="A337" s="1" t="s">
        <v>704</v>
      </c>
      <c r="B337" s="2">
        <v>45436</v>
      </c>
      <c r="C337" s="1" t="str">
        <f>IF(TRIM(sales_dataset[[#This Row],[SalesChannel]])="",sales_dataset!C338,PROPER(TRIM(sales_dataset[[#This Row],[SalesChannel]])))</f>
        <v>Online</v>
      </c>
      <c r="D337" s="1" t="s">
        <v>553</v>
      </c>
      <c r="E337" s="1" t="str">
        <f>IF(TRIM(sales_dataset[[#This Row],[CustomerName]])="",sales_dataset!F343, PROPER(TRIM(sales_dataset[[#This Row],[CustomerName]])))</f>
        <v>Priya</v>
      </c>
      <c r="F337" s="1" t="str">
        <f>IF(TRIM(sales_dataset[[#This Row],[City]])="", sales_dataset!$H$3, PROPER(TRIM(sales_dataset[[#This Row],[City]])))</f>
        <v>Hyderabad</v>
      </c>
      <c r="G337" t="str">
        <f>PROPER(sales_dataset[[#This Row],[Region cleaned]])</f>
        <v>East</v>
      </c>
      <c r="H337" t="s">
        <v>343</v>
      </c>
      <c r="I337" t="str">
        <f>IF(TRIM(sales_dataset[[#This Row],[SalespersonName]])="",I340,PROPER(TRIM(sales_dataset[[#This Row],[SalespersonName]])))</f>
        <v>Raj</v>
      </c>
      <c r="J337" s="1" t="s">
        <v>705</v>
      </c>
      <c r="K337" s="1" t="str">
        <f>PROPER(sales_dataset[[#This Row],[ProductCategory cleaned]])</f>
        <v>Home</v>
      </c>
      <c r="L337" s="1" t="str">
        <f>PROPER(sales_dataset[[#This Row],[ProductName]])</f>
        <v>Laptop</v>
      </c>
      <c r="M337">
        <f>ABS(sales_dataset!W:W)</f>
        <v>0</v>
      </c>
      <c r="N337">
        <f>ABS(sales_dataset[[#This Row],[Column4]])</f>
        <v>500</v>
      </c>
      <c r="O337">
        <f t="shared" si="5"/>
        <v>0</v>
      </c>
    </row>
    <row r="338" spans="1:15" x14ac:dyDescent="0.3">
      <c r="A338" s="1" t="s">
        <v>706</v>
      </c>
      <c r="B338" s="2">
        <v>45399</v>
      </c>
      <c r="C338" s="1" t="str">
        <f>IF(TRIM(sales_dataset[[#This Row],[SalesChannel]])="",sales_dataset!C339,PROPER(TRIM(sales_dataset[[#This Row],[SalesChannel]])))</f>
        <v>Online</v>
      </c>
      <c r="D338" s="1" t="s">
        <v>84</v>
      </c>
      <c r="E338" s="1" t="str">
        <f>IF(TRIM(sales_dataset[[#This Row],[CustomerName]])="",sales_dataset!F344, PROPER(TRIM(sales_dataset[[#This Row],[CustomerName]])))</f>
        <v>John</v>
      </c>
      <c r="F338" s="1" t="str">
        <f>IF(TRIM(sales_dataset[[#This Row],[City]])="", sales_dataset!$H$3, PROPER(TRIM(sales_dataset[[#This Row],[City]])))</f>
        <v>Mumbai</v>
      </c>
      <c r="G338" t="str">
        <f>PROPER(sales_dataset[[#This Row],[Region cleaned]])</f>
        <v>East</v>
      </c>
      <c r="H338" t="s">
        <v>510</v>
      </c>
      <c r="I338" t="str">
        <f>IF(TRIM(sales_dataset[[#This Row],[SalespersonName]])="",I341,PROPER(TRIM(sales_dataset[[#This Row],[SalespersonName]])))</f>
        <v>Kevin</v>
      </c>
      <c r="J338" s="1" t="s">
        <v>206</v>
      </c>
      <c r="K338" s="1" t="str">
        <f>PROPER(sales_dataset[[#This Row],[ProductCategory cleaned]])</f>
        <v>Electronics</v>
      </c>
      <c r="L338" s="1" t="str">
        <f>PROPER(sales_dataset[[#This Row],[ProductName]])</f>
        <v/>
      </c>
      <c r="M338">
        <f>ABS(sales_dataset!W:W)</f>
        <v>0</v>
      </c>
      <c r="N338">
        <f>ABS(sales_dataset[[#This Row],[Column4]])</f>
        <v>500</v>
      </c>
      <c r="O338">
        <f t="shared" si="5"/>
        <v>0</v>
      </c>
    </row>
    <row r="339" spans="1:15" x14ac:dyDescent="0.3">
      <c r="A339" s="1" t="s">
        <v>707</v>
      </c>
      <c r="B339" s="2">
        <v>45467</v>
      </c>
      <c r="C339" s="1" t="str">
        <f>IF(TRIM(sales_dataset[[#This Row],[SalesChannel]])="",sales_dataset!C340,PROPER(TRIM(sales_dataset[[#This Row],[SalesChannel]])))</f>
        <v>Offline</v>
      </c>
      <c r="D339" s="1" t="s">
        <v>523</v>
      </c>
      <c r="E339" s="1" t="str">
        <f>IF(TRIM(sales_dataset[[#This Row],[CustomerName]])="",sales_dataset!F345, PROPER(TRIM(sales_dataset[[#This Row],[CustomerName]])))</f>
        <v>Amit</v>
      </c>
      <c r="F339" s="1" t="str">
        <f>IF(TRIM(sales_dataset[[#This Row],[City]])="", sales_dataset!$H$3, PROPER(TRIM(sales_dataset[[#This Row],[City]])))</f>
        <v>Mumbai</v>
      </c>
      <c r="G339" t="str">
        <f>PROPER(sales_dataset[[#This Row],[Region cleaned]])</f>
        <v>South</v>
      </c>
      <c r="H339" t="s">
        <v>227</v>
      </c>
      <c r="I339" t="str">
        <f>IF(TRIM(sales_dataset[[#This Row],[SalespersonName]])="",I342,PROPER(TRIM(sales_dataset[[#This Row],[SalespersonName]])))</f>
        <v>Megha</v>
      </c>
      <c r="J339" s="1" t="s">
        <v>705</v>
      </c>
      <c r="K339" s="1" t="str">
        <f>PROPER(sales_dataset[[#This Row],[ProductCategory cleaned]])</f>
        <v>Clothing</v>
      </c>
      <c r="L339" s="1" t="str">
        <f>PROPER(sales_dataset[[#This Row],[ProductName]])</f>
        <v>Laptop</v>
      </c>
      <c r="M339">
        <f>ABS(sales_dataset!W:W)</f>
        <v>2</v>
      </c>
      <c r="N339">
        <f>ABS(sales_dataset[[#This Row],[Column4]])</f>
        <v>2500</v>
      </c>
      <c r="O339">
        <f t="shared" si="5"/>
        <v>5000</v>
      </c>
    </row>
    <row r="340" spans="1:15" x14ac:dyDescent="0.3">
      <c r="A340" s="1" t="s">
        <v>708</v>
      </c>
      <c r="B340" s="2">
        <v>45396</v>
      </c>
      <c r="C340" s="1" t="str">
        <f>IF(TRIM(sales_dataset[[#This Row],[SalesChannel]])="",sales_dataset!C341,PROPER(TRIM(sales_dataset[[#This Row],[SalesChannel]])))</f>
        <v>Store</v>
      </c>
      <c r="D340" s="1" t="s">
        <v>545</v>
      </c>
      <c r="E340" s="1" t="str">
        <f>IF(TRIM(sales_dataset[[#This Row],[CustomerName]])="",sales_dataset!F346, PROPER(TRIM(sales_dataset[[#This Row],[CustomerName]])))</f>
        <v>Priya</v>
      </c>
      <c r="F340" s="1" t="str">
        <f>IF(TRIM(sales_dataset[[#This Row],[City]])="", sales_dataset!$H$3, PROPER(TRIM(sales_dataset[[#This Row],[City]])))</f>
        <v>Hyderabad</v>
      </c>
      <c r="G340" t="str">
        <f>PROPER(sales_dataset[[#This Row],[Region cleaned]])</f>
        <v>West</v>
      </c>
      <c r="H340" t="s">
        <v>376</v>
      </c>
      <c r="I340" t="str">
        <f>IF(TRIM(sales_dataset[[#This Row],[SalespersonName]])="",I343,PROPER(TRIM(sales_dataset[[#This Row],[SalespersonName]])))</f>
        <v>Sam</v>
      </c>
      <c r="J340" s="1" t="s">
        <v>228</v>
      </c>
      <c r="K340" s="1" t="str">
        <f>PROPER(sales_dataset[[#This Row],[ProductCategory cleaned]])</f>
        <v>Electronics</v>
      </c>
      <c r="L340" s="1" t="str">
        <f>PROPER(sales_dataset[[#This Row],[ProductName]])</f>
        <v>Shirt</v>
      </c>
      <c r="M340">
        <f>ABS(sales_dataset!W:W)</f>
        <v>4</v>
      </c>
      <c r="N340">
        <f>ABS(sales_dataset[[#This Row],[Column4]])</f>
        <v>0</v>
      </c>
      <c r="O340">
        <f t="shared" si="5"/>
        <v>0</v>
      </c>
    </row>
    <row r="341" spans="1:15" x14ac:dyDescent="0.3">
      <c r="A341" s="1" t="s">
        <v>709</v>
      </c>
      <c r="B341" s="2">
        <v>45427</v>
      </c>
      <c r="C341" s="1" t="str">
        <f>IF(TRIM(sales_dataset[[#This Row],[SalesChannel]])="",sales_dataset!C342,PROPER(TRIM(sales_dataset[[#This Row],[SalesChannel]])))</f>
        <v>Store</v>
      </c>
      <c r="D341" s="1" t="s">
        <v>560</v>
      </c>
      <c r="E341" s="1" t="str">
        <f>IF(TRIM(sales_dataset[[#This Row],[CustomerName]])="",sales_dataset!F347, PROPER(TRIM(sales_dataset[[#This Row],[CustomerName]])))</f>
        <v>Priya</v>
      </c>
      <c r="F341" s="1" t="str">
        <f>IF(TRIM(sales_dataset[[#This Row],[City]])="", sales_dataset!$H$3, PROPER(TRIM(sales_dataset[[#This Row],[City]])))</f>
        <v>Hyderabad</v>
      </c>
      <c r="G341" t="str">
        <f>PROPER(sales_dataset[[#This Row],[Region cleaned]])</f>
        <v>South</v>
      </c>
      <c r="H341" t="s">
        <v>318</v>
      </c>
      <c r="I341" t="str">
        <f>IF(TRIM(sales_dataset[[#This Row],[SalespersonName]])="",I344,PROPER(TRIM(sales_dataset[[#This Row],[SalespersonName]])))</f>
        <v>Megha</v>
      </c>
      <c r="J341" s="1" t="s">
        <v>344</v>
      </c>
      <c r="K341" s="1" t="str">
        <f>PROPER(sales_dataset[[#This Row],[ProductCategory cleaned]])</f>
        <v>Clothing</v>
      </c>
      <c r="L341" s="1" t="str">
        <f>PROPER(sales_dataset[[#This Row],[ProductName]])</f>
        <v>Laptop</v>
      </c>
      <c r="M341">
        <f>ABS(sales_dataset!W:W)</f>
        <v>3</v>
      </c>
      <c r="N341">
        <f>ABS(sales_dataset[[#This Row],[Column4]])</f>
        <v>2500</v>
      </c>
      <c r="O341">
        <f t="shared" si="5"/>
        <v>7500</v>
      </c>
    </row>
    <row r="342" spans="1:15" x14ac:dyDescent="0.3">
      <c r="A342" s="1" t="s">
        <v>710</v>
      </c>
      <c r="B342" s="2">
        <v>45550</v>
      </c>
      <c r="C342" s="1" t="str">
        <f>IF(TRIM(sales_dataset[[#This Row],[SalesChannel]])="",sales_dataset!C343,PROPER(TRIM(sales_dataset[[#This Row],[SalesChannel]])))</f>
        <v>Online</v>
      </c>
      <c r="D342" s="1" t="s">
        <v>379</v>
      </c>
      <c r="E342" s="1" t="str">
        <f>IF(TRIM(sales_dataset[[#This Row],[CustomerName]])="",sales_dataset!F348, PROPER(TRIM(sales_dataset[[#This Row],[CustomerName]])))</f>
        <v>Priya</v>
      </c>
      <c r="F342" s="1" t="str">
        <f>IF(TRIM(sales_dataset[[#This Row],[City]])="", sales_dataset!$H$3, PROPER(TRIM(sales_dataset[[#This Row],[City]])))</f>
        <v>Delhi</v>
      </c>
      <c r="G342" t="str">
        <f>PROPER(sales_dataset[[#This Row],[Region cleaned]])</f>
        <v>North</v>
      </c>
      <c r="H342" t="s">
        <v>99</v>
      </c>
      <c r="I342" t="str">
        <f>IF(TRIM(sales_dataset[[#This Row],[SalespersonName]])="",I345,PROPER(TRIM(sales_dataset[[#This Row],[SalespersonName]])))</f>
        <v>Sam</v>
      </c>
      <c r="J342" s="1" t="s">
        <v>156</v>
      </c>
      <c r="K342" s="1" t="str">
        <f>PROPER(sales_dataset[[#This Row],[ProductCategory cleaned]])</f>
        <v>Home</v>
      </c>
      <c r="L342" s="1" t="str">
        <f>PROPER(sales_dataset[[#This Row],[ProductName]])</f>
        <v>Shirt</v>
      </c>
      <c r="M342">
        <f>ABS(sales_dataset!W:W)</f>
        <v>1</v>
      </c>
      <c r="N342">
        <f>ABS(sales_dataset[[#This Row],[Column4]])</f>
        <v>500</v>
      </c>
      <c r="O342">
        <f t="shared" si="5"/>
        <v>500</v>
      </c>
    </row>
    <row r="343" spans="1:15" x14ac:dyDescent="0.3">
      <c r="A343" s="1" t="s">
        <v>711</v>
      </c>
      <c r="B343" s="2">
        <v>45542</v>
      </c>
      <c r="C343" s="1" t="str">
        <f>IF(TRIM(sales_dataset[[#This Row],[SalesChannel]])="",sales_dataset!C344,PROPER(TRIM(sales_dataset[[#This Row],[SalesChannel]])))</f>
        <v>Online</v>
      </c>
      <c r="D343" s="1" t="s">
        <v>373</v>
      </c>
      <c r="E343" s="1" t="str">
        <f>IF(TRIM(sales_dataset[[#This Row],[CustomerName]])="",sales_dataset!F349, PROPER(TRIM(sales_dataset[[#This Row],[CustomerName]])))</f>
        <v>Sara</v>
      </c>
      <c r="F343" s="1" t="str">
        <f>IF(TRIM(sales_dataset[[#This Row],[City]])="", sales_dataset!$H$3, PROPER(TRIM(sales_dataset[[#This Row],[City]])))</f>
        <v>Delhi</v>
      </c>
      <c r="G343" t="str">
        <f>PROPER(sales_dataset[[#This Row],[Region cleaned]])</f>
        <v>East</v>
      </c>
      <c r="H343" t="s">
        <v>125</v>
      </c>
      <c r="I343" t="str">
        <f>IF(TRIM(sales_dataset[[#This Row],[SalespersonName]])="",I346,PROPER(TRIM(sales_dataset[[#This Row],[SalespersonName]])))</f>
        <v>Anita</v>
      </c>
      <c r="J343" s="1" t="s">
        <v>467</v>
      </c>
      <c r="K343" s="1" t="str">
        <f>PROPER(sales_dataset[[#This Row],[ProductCategory cleaned]])</f>
        <v>Clothing</v>
      </c>
      <c r="L343" s="1" t="str">
        <f>PROPER(sales_dataset[[#This Row],[ProductName]])</f>
        <v>Laptop</v>
      </c>
      <c r="M343">
        <f>ABS(sales_dataset!W:W)</f>
        <v>5</v>
      </c>
      <c r="N343">
        <f>ABS(sales_dataset[[#This Row],[Column4]])</f>
        <v>2000</v>
      </c>
      <c r="O343">
        <f t="shared" si="5"/>
        <v>10000</v>
      </c>
    </row>
    <row r="344" spans="1:15" x14ac:dyDescent="0.3">
      <c r="A344" s="1" t="s">
        <v>712</v>
      </c>
      <c r="B344" s="2">
        <v>45420</v>
      </c>
      <c r="C344" s="1" t="str">
        <f>IF(TRIM(sales_dataset[[#This Row],[SalesChannel]])="",sales_dataset!C345,PROPER(TRIM(sales_dataset[[#This Row],[SalesChannel]])))</f>
        <v>Online</v>
      </c>
      <c r="D344" s="1" t="s">
        <v>200</v>
      </c>
      <c r="E344" s="1" t="str">
        <f>IF(TRIM(sales_dataset[[#This Row],[CustomerName]])="",sales_dataset!F350, PROPER(TRIM(sales_dataset[[#This Row],[CustomerName]])))</f>
        <v>John</v>
      </c>
      <c r="F344" s="1" t="str">
        <f>IF(TRIM(sales_dataset[[#This Row],[City]])="", sales_dataset!$H$3, PROPER(TRIM(sales_dataset[[#This Row],[City]])))</f>
        <v>Bengaluru</v>
      </c>
      <c r="G344" t="str">
        <f>PROPER(sales_dataset[[#This Row],[Region cleaned]])</f>
        <v>South</v>
      </c>
      <c r="H344" t="s">
        <v>215</v>
      </c>
      <c r="I344" t="str">
        <f>IF(TRIM(sales_dataset[[#This Row],[SalespersonName]])="",I347,PROPER(TRIM(sales_dataset[[#This Row],[SalespersonName]])))</f>
        <v>Anita</v>
      </c>
      <c r="J344" s="1" t="s">
        <v>228</v>
      </c>
      <c r="K344" s="1" t="str">
        <f>PROPER(sales_dataset[[#This Row],[ProductCategory cleaned]])</f>
        <v>Electronics</v>
      </c>
      <c r="L344" s="1" t="str">
        <f>PROPER(sales_dataset[[#This Row],[ProductName]])</f>
        <v>Shirt</v>
      </c>
      <c r="M344">
        <f>ABS(sales_dataset!W:W)</f>
        <v>5</v>
      </c>
      <c r="N344">
        <f>ABS(sales_dataset[[#This Row],[Column4]])</f>
        <v>500</v>
      </c>
      <c r="O344">
        <f t="shared" si="5"/>
        <v>2500</v>
      </c>
    </row>
    <row r="345" spans="1:15" x14ac:dyDescent="0.3">
      <c r="A345" s="1" t="s">
        <v>713</v>
      </c>
      <c r="B345" s="2">
        <v>45318</v>
      </c>
      <c r="C345" s="1" t="str">
        <f>IF(TRIM(sales_dataset[[#This Row],[SalesChannel]])="",sales_dataset!C346,PROPER(TRIM(sales_dataset[[#This Row],[SalesChannel]])))</f>
        <v>Offline</v>
      </c>
      <c r="D345" s="1" t="s">
        <v>714</v>
      </c>
      <c r="E345" s="1" t="str">
        <f>IF(TRIM(sales_dataset[[#This Row],[CustomerName]])="",sales_dataset!F351, PROPER(TRIM(sales_dataset[[#This Row],[CustomerName]])))</f>
        <v>John</v>
      </c>
      <c r="F345" s="1" t="str">
        <f>IF(TRIM(sales_dataset[[#This Row],[City]])="", sales_dataset!$H$3, PROPER(TRIM(sales_dataset[[#This Row],[City]])))</f>
        <v>Bengaluru</v>
      </c>
      <c r="G345" t="str">
        <f>PROPER(sales_dataset[[#This Row],[Region cleaned]])</f>
        <v>West</v>
      </c>
      <c r="H345" t="s">
        <v>140</v>
      </c>
      <c r="I345" t="str">
        <f>IF(TRIM(sales_dataset[[#This Row],[SalespersonName]])="",I348,PROPER(TRIM(sales_dataset[[#This Row],[SalespersonName]])))</f>
        <v>Sam</v>
      </c>
      <c r="J345" s="1" t="s">
        <v>598</v>
      </c>
      <c r="K345" s="1" t="str">
        <f>PROPER(sales_dataset[[#This Row],[ProductCategory cleaned]])</f>
        <v>Electronics</v>
      </c>
      <c r="L345" s="1" t="str">
        <f>PROPER(sales_dataset[[#This Row],[ProductName]])</f>
        <v>Shirt</v>
      </c>
      <c r="M345">
        <f>ABS(sales_dataset!W:W)</f>
        <v>4</v>
      </c>
      <c r="N345">
        <f>ABS(sales_dataset[[#This Row],[Column4]])</f>
        <v>2000</v>
      </c>
      <c r="O345">
        <f t="shared" si="5"/>
        <v>8000</v>
      </c>
    </row>
    <row r="346" spans="1:15" x14ac:dyDescent="0.3">
      <c r="A346" s="1" t="s">
        <v>715</v>
      </c>
      <c r="B346" s="2">
        <v>45339</v>
      </c>
      <c r="C346" s="1" t="str">
        <f>IF(TRIM(sales_dataset[[#This Row],[SalesChannel]])="",sales_dataset!C347,PROPER(TRIM(sales_dataset[[#This Row],[SalesChannel]])))</f>
        <v>Store</v>
      </c>
      <c r="D346" s="1" t="s">
        <v>436</v>
      </c>
      <c r="E346" s="1" t="str">
        <f>IF(TRIM(sales_dataset[[#This Row],[CustomerName]])="",sales_dataset!F352, PROPER(TRIM(sales_dataset[[#This Row],[CustomerName]])))</f>
        <v>John</v>
      </c>
      <c r="F346" s="1" t="str">
        <f>IF(TRIM(sales_dataset[[#This Row],[City]])="", sales_dataset!$H$3, PROPER(TRIM(sales_dataset[[#This Row],[City]])))</f>
        <v>Mumbai</v>
      </c>
      <c r="G346" t="str">
        <f>PROPER(sales_dataset[[#This Row],[Region cleaned]])</f>
        <v>South</v>
      </c>
      <c r="H346" t="s">
        <v>136</v>
      </c>
      <c r="I346" t="str">
        <f>IF(TRIM(sales_dataset[[#This Row],[SalespersonName]])="",I349,PROPER(TRIM(sales_dataset[[#This Row],[SalespersonName]])))</f>
        <v>Kevin</v>
      </c>
      <c r="J346" s="1" t="s">
        <v>123</v>
      </c>
      <c r="K346" s="1" t="str">
        <f>PROPER(sales_dataset[[#This Row],[ProductCategory cleaned]])</f>
        <v>Electronics</v>
      </c>
      <c r="L346" s="1" t="str">
        <f>PROPER(sales_dataset[[#This Row],[ProductName]])</f>
        <v>Sofa</v>
      </c>
      <c r="M346">
        <f>ABS(sales_dataset!W:W)</f>
        <v>2</v>
      </c>
      <c r="N346">
        <f>ABS(sales_dataset[[#This Row],[Column4]])</f>
        <v>1500</v>
      </c>
      <c r="O346">
        <f t="shared" si="5"/>
        <v>3000</v>
      </c>
    </row>
    <row r="347" spans="1:15" x14ac:dyDescent="0.3">
      <c r="A347" s="1" t="s">
        <v>716</v>
      </c>
      <c r="B347" s="2">
        <v>45508</v>
      </c>
      <c r="C347" s="1" t="str">
        <f>IF(TRIM(sales_dataset[[#This Row],[SalesChannel]])="",sales_dataset!C348,PROPER(TRIM(sales_dataset[[#This Row],[SalesChannel]])))</f>
        <v>Store</v>
      </c>
      <c r="D347" s="1" t="s">
        <v>655</v>
      </c>
      <c r="E347" s="1" t="str">
        <f>IF(TRIM(sales_dataset[[#This Row],[CustomerName]])="",sales_dataset!F353, PROPER(TRIM(sales_dataset[[#This Row],[CustomerName]])))</f>
        <v/>
      </c>
      <c r="F347" s="1" t="str">
        <f>IF(TRIM(sales_dataset[[#This Row],[City]])="", sales_dataset!$H$3, PROPER(TRIM(sales_dataset[[#This Row],[City]])))</f>
        <v>Delhi</v>
      </c>
      <c r="G347" t="str">
        <f>PROPER(sales_dataset[[#This Row],[Region cleaned]])</f>
        <v>North</v>
      </c>
      <c r="H347" t="s">
        <v>510</v>
      </c>
      <c r="I347" t="str">
        <f>IF(TRIM(sales_dataset[[#This Row],[SalespersonName]])="",I350,PROPER(TRIM(sales_dataset[[#This Row],[SalespersonName]])))</f>
        <v>Anita</v>
      </c>
      <c r="J347" s="1" t="s">
        <v>311</v>
      </c>
      <c r="K347" s="1" t="str">
        <f>PROPER(sales_dataset[[#This Row],[ProductCategory cleaned]])</f>
        <v>Home</v>
      </c>
      <c r="L347" s="1" t="str">
        <f>PROPER(sales_dataset[[#This Row],[ProductName]])</f>
        <v>Watch</v>
      </c>
      <c r="M347">
        <f>ABS(sales_dataset!W:W)</f>
        <v>1</v>
      </c>
      <c r="N347">
        <f>ABS(sales_dataset[[#This Row],[Column4]])</f>
        <v>100</v>
      </c>
      <c r="O347">
        <f t="shared" si="5"/>
        <v>100</v>
      </c>
    </row>
    <row r="348" spans="1:15" x14ac:dyDescent="0.3">
      <c r="A348" s="1" t="s">
        <v>717</v>
      </c>
      <c r="B348" s="2">
        <v>45433</v>
      </c>
      <c r="C348" s="1" t="str">
        <f>IF(TRIM(sales_dataset[[#This Row],[SalesChannel]])="",sales_dataset!C349,PROPER(TRIM(sales_dataset[[#This Row],[SalesChannel]])))</f>
        <v>Online</v>
      </c>
      <c r="D348" s="1" t="s">
        <v>718</v>
      </c>
      <c r="E348" s="1" t="str">
        <f>IF(TRIM(sales_dataset[[#This Row],[CustomerName]])="",sales_dataset!F354, PROPER(TRIM(sales_dataset[[#This Row],[CustomerName]])))</f>
        <v>David</v>
      </c>
      <c r="F348" s="1" t="str">
        <f>IF(TRIM(sales_dataset[[#This Row],[City]])="", sales_dataset!$H$3, PROPER(TRIM(sales_dataset[[#This Row],[City]])))</f>
        <v>Mumbai</v>
      </c>
      <c r="G348" t="str">
        <f>PROPER(sales_dataset[[#This Row],[Region cleaned]])</f>
        <v>South</v>
      </c>
      <c r="H348" t="s">
        <v>107</v>
      </c>
      <c r="I348" t="str">
        <f>IF(TRIM(sales_dataset[[#This Row],[SalespersonName]])="",I351,PROPER(TRIM(sales_dataset[[#This Row],[SalespersonName]])))</f>
        <v>Raj</v>
      </c>
      <c r="J348" s="1" t="s">
        <v>477</v>
      </c>
      <c r="K348" s="1" t="str">
        <f>PROPER(sales_dataset[[#This Row],[ProductCategory cleaned]])</f>
        <v>Electronics</v>
      </c>
      <c r="L348" s="1" t="str">
        <f>PROPER(sales_dataset[[#This Row],[ProductName]])</f>
        <v>Tv</v>
      </c>
      <c r="M348">
        <f>ABS(sales_dataset!W:W)</f>
        <v>1</v>
      </c>
      <c r="N348">
        <f>ABS(sales_dataset[[#This Row],[Column4]])</f>
        <v>100</v>
      </c>
      <c r="O348">
        <f t="shared" si="5"/>
        <v>100</v>
      </c>
    </row>
    <row r="349" spans="1:15" x14ac:dyDescent="0.3">
      <c r="A349" s="1" t="s">
        <v>719</v>
      </c>
      <c r="B349" s="2">
        <v>45314</v>
      </c>
      <c r="C349" s="1" t="str">
        <f>IF(TRIM(sales_dataset[[#This Row],[SalesChannel]])="",sales_dataset!C350,PROPER(TRIM(sales_dataset[[#This Row],[SalesChannel]])))</f>
        <v>Online</v>
      </c>
      <c r="D349" s="1" t="s">
        <v>89</v>
      </c>
      <c r="E349" s="1" t="str">
        <f>IF(TRIM(sales_dataset[[#This Row],[CustomerName]])="",sales_dataset!F355, PROPER(TRIM(sales_dataset[[#This Row],[CustomerName]])))</f>
        <v>Priya</v>
      </c>
      <c r="F349" s="1" t="str">
        <f>IF(TRIM(sales_dataset[[#This Row],[City]])="", sales_dataset!$H$3, PROPER(TRIM(sales_dataset[[#This Row],[City]])))</f>
        <v>Delhi</v>
      </c>
      <c r="G349" t="str">
        <f>PROPER(sales_dataset[[#This Row],[Region cleaned]])</f>
        <v>North</v>
      </c>
      <c r="H349" t="s">
        <v>416</v>
      </c>
      <c r="I349" t="str">
        <f>IF(TRIM(sales_dataset[[#This Row],[SalespersonName]])="",I352,PROPER(TRIM(sales_dataset[[#This Row],[SalespersonName]])))</f>
        <v>Megha</v>
      </c>
      <c r="J349" s="1" t="s">
        <v>344</v>
      </c>
      <c r="K349" s="1" t="str">
        <f>PROPER(sales_dataset[[#This Row],[ProductCategory cleaned]])</f>
        <v>Home</v>
      </c>
      <c r="L349" s="1" t="str">
        <f>PROPER(sales_dataset[[#This Row],[ProductName]])</f>
        <v/>
      </c>
      <c r="M349">
        <f>ABS(sales_dataset!W:W)</f>
        <v>5</v>
      </c>
      <c r="N349">
        <f>ABS(sales_dataset[[#This Row],[Column4]])</f>
        <v>100</v>
      </c>
      <c r="O349">
        <f t="shared" si="5"/>
        <v>500</v>
      </c>
    </row>
    <row r="350" spans="1:15" x14ac:dyDescent="0.3">
      <c r="A350" s="1" t="s">
        <v>720</v>
      </c>
      <c r="B350" s="2">
        <v>45293</v>
      </c>
      <c r="C350" s="1" t="str">
        <f>IF(TRIM(sales_dataset[[#This Row],[SalesChannel]])="",sales_dataset!C351,PROPER(TRIM(sales_dataset[[#This Row],[SalesChannel]])))</f>
        <v>Online</v>
      </c>
      <c r="D350" s="1" t="s">
        <v>373</v>
      </c>
      <c r="E350" s="1" t="str">
        <f>IF(TRIM(sales_dataset[[#This Row],[CustomerName]])="",sales_dataset!F356, PROPER(TRIM(sales_dataset[[#This Row],[CustomerName]])))</f>
        <v>David</v>
      </c>
      <c r="F350" s="1" t="str">
        <f>IF(TRIM(sales_dataset[[#This Row],[City]])="", sales_dataset!$H$3, PROPER(TRIM(sales_dataset[[#This Row],[City]])))</f>
        <v>Delhi</v>
      </c>
      <c r="G350" t="str">
        <f>PROPER(sales_dataset[[#This Row],[Region cleaned]])</f>
        <v>West</v>
      </c>
      <c r="H350" t="s">
        <v>177</v>
      </c>
      <c r="I350" t="str">
        <f>IF(TRIM(sales_dataset[[#This Row],[SalespersonName]])="",I353,PROPER(TRIM(sales_dataset[[#This Row],[SalespersonName]])))</f>
        <v>Sam</v>
      </c>
      <c r="J350" s="1" t="s">
        <v>303</v>
      </c>
      <c r="K350" s="1" t="str">
        <f>PROPER(sales_dataset[[#This Row],[ProductCategory cleaned]])</f>
        <v>Electronics</v>
      </c>
      <c r="L350" s="1" t="str">
        <f>PROPER(sales_dataset[[#This Row],[ProductName]])</f>
        <v/>
      </c>
      <c r="M350">
        <f>ABS(sales_dataset!W:W)</f>
        <v>5</v>
      </c>
      <c r="N350">
        <f>ABS(sales_dataset[[#This Row],[Column4]])</f>
        <v>2000</v>
      </c>
      <c r="O350">
        <f t="shared" si="5"/>
        <v>10000</v>
      </c>
    </row>
    <row r="351" spans="1:15" x14ac:dyDescent="0.3">
      <c r="A351" s="1" t="s">
        <v>721</v>
      </c>
      <c r="B351" s="2">
        <v>45462</v>
      </c>
      <c r="C351" s="1" t="str">
        <f>IF(TRIM(sales_dataset[[#This Row],[SalesChannel]])="",sales_dataset!C352,PROPER(TRIM(sales_dataset[[#This Row],[SalesChannel]])))</f>
        <v>Offline</v>
      </c>
      <c r="D351" s="1" t="s">
        <v>198</v>
      </c>
      <c r="E351" s="1" t="str">
        <f>IF(TRIM(sales_dataset[[#This Row],[CustomerName]])="",sales_dataset!F357, PROPER(TRIM(sales_dataset[[#This Row],[CustomerName]])))</f>
        <v>David</v>
      </c>
      <c r="F351" s="1" t="str">
        <f>IF(TRIM(sales_dataset[[#This Row],[City]])="", sales_dataset!$H$3, PROPER(TRIM(sales_dataset[[#This Row],[City]])))</f>
        <v>Delhi</v>
      </c>
      <c r="G351" t="str">
        <f>PROPER(sales_dataset[[#This Row],[Region cleaned]])</f>
        <v>South</v>
      </c>
      <c r="H351" t="s">
        <v>233</v>
      </c>
      <c r="I351" t="str">
        <f>IF(TRIM(sales_dataset[[#This Row],[SalespersonName]])="",I354,PROPER(TRIM(sales_dataset[[#This Row],[SalespersonName]])))</f>
        <v>Raj</v>
      </c>
      <c r="J351" s="1" t="s">
        <v>421</v>
      </c>
      <c r="K351" s="1" t="str">
        <f>PROPER(sales_dataset[[#This Row],[ProductCategory cleaned]])</f>
        <v>Home</v>
      </c>
      <c r="L351" s="1" t="str">
        <f>PROPER(sales_dataset[[#This Row],[ProductName]])</f>
        <v/>
      </c>
      <c r="M351">
        <f>ABS(sales_dataset!W:W)</f>
        <v>1</v>
      </c>
      <c r="N351">
        <f>ABS(sales_dataset[[#This Row],[Column4]])</f>
        <v>1500</v>
      </c>
      <c r="O351">
        <f t="shared" si="5"/>
        <v>1500</v>
      </c>
    </row>
    <row r="352" spans="1:15" x14ac:dyDescent="0.3">
      <c r="A352" s="1" t="s">
        <v>722</v>
      </c>
      <c r="B352" s="2">
        <v>45358</v>
      </c>
      <c r="C352" s="1" t="str">
        <f>IF(TRIM(sales_dataset[[#This Row],[SalesChannel]])="",sales_dataset!C353,PROPER(TRIM(sales_dataset[[#This Row],[SalesChannel]])))</f>
        <v>Store</v>
      </c>
      <c r="D352" s="1" t="s">
        <v>44</v>
      </c>
      <c r="E352" s="1" t="str">
        <f>IF(TRIM(sales_dataset[[#This Row],[CustomerName]])="",sales_dataset!F358, PROPER(TRIM(sales_dataset[[#This Row],[CustomerName]])))</f>
        <v>Priya</v>
      </c>
      <c r="F352" s="1" t="str">
        <f>IF(TRIM(sales_dataset[[#This Row],[City]])="", sales_dataset!$H$3, PROPER(TRIM(sales_dataset[[#This Row],[City]])))</f>
        <v>Mumbai</v>
      </c>
      <c r="G352" t="str">
        <f>PROPER(sales_dataset[[#This Row],[Region cleaned]])</f>
        <v>North</v>
      </c>
      <c r="H352" t="s">
        <v>152</v>
      </c>
      <c r="I352" t="str">
        <f>IF(TRIM(sales_dataset[[#This Row],[SalespersonName]])="",I355,PROPER(TRIM(sales_dataset[[#This Row],[SalespersonName]])))</f>
        <v>Raj</v>
      </c>
      <c r="J352" s="1" t="s">
        <v>624</v>
      </c>
      <c r="K352" s="1" t="str">
        <f>PROPER(sales_dataset[[#This Row],[ProductCategory cleaned]])</f>
        <v>Clothing</v>
      </c>
      <c r="L352" s="1" t="str">
        <f>PROPER(sales_dataset[[#This Row],[ProductName]])</f>
        <v>Shirt</v>
      </c>
      <c r="M352">
        <f>ABS(sales_dataset!W:W)</f>
        <v>1</v>
      </c>
      <c r="N352">
        <f>ABS(sales_dataset[[#This Row],[Column4]])</f>
        <v>2500</v>
      </c>
      <c r="O352">
        <f t="shared" si="5"/>
        <v>2500</v>
      </c>
    </row>
    <row r="353" spans="1:15" x14ac:dyDescent="0.3">
      <c r="A353" s="1" t="s">
        <v>723</v>
      </c>
      <c r="B353" s="2">
        <v>45426</v>
      </c>
      <c r="C353" s="1" t="str">
        <f>IF(TRIM(sales_dataset[[#This Row],[SalesChannel]])="",sales_dataset!C354,PROPER(TRIM(sales_dataset[[#This Row],[SalesChannel]])))</f>
        <v>Store</v>
      </c>
      <c r="D353" s="1" t="s">
        <v>548</v>
      </c>
      <c r="E353" s="1" t="str">
        <f>IF(TRIM(sales_dataset[[#This Row],[CustomerName]])="",sales_dataset!F359, PROPER(TRIM(sales_dataset[[#This Row],[CustomerName]])))</f>
        <v>Priya</v>
      </c>
      <c r="F353" s="1" t="str">
        <f>IF(TRIM(sales_dataset[[#This Row],[City]])="", sales_dataset!$H$3, PROPER(TRIM(sales_dataset[[#This Row],[City]])))</f>
        <v>Delhi</v>
      </c>
      <c r="G353" t="str">
        <f>PROPER(sales_dataset[[#This Row],[Region cleaned]])</f>
        <v>West</v>
      </c>
      <c r="H353" t="s">
        <v>38</v>
      </c>
      <c r="I353" t="str">
        <f>IF(TRIM(sales_dataset[[#This Row],[SalespersonName]])="",I356,PROPER(TRIM(sales_dataset[[#This Row],[SalespersonName]])))</f>
        <v>Sam</v>
      </c>
      <c r="J353" s="1" t="s">
        <v>421</v>
      </c>
      <c r="K353" s="1" t="str">
        <f>PROPER(sales_dataset[[#This Row],[ProductCategory cleaned]])</f>
        <v>Electronics</v>
      </c>
      <c r="L353" s="1" t="str">
        <f>PROPER(sales_dataset[[#This Row],[ProductName]])</f>
        <v>Tv</v>
      </c>
      <c r="M353">
        <f>ABS(sales_dataset!W:W)</f>
        <v>4</v>
      </c>
      <c r="N353">
        <f>ABS(sales_dataset[[#This Row],[Column4]])</f>
        <v>100</v>
      </c>
      <c r="O353">
        <f t="shared" si="5"/>
        <v>400</v>
      </c>
    </row>
    <row r="354" spans="1:15" x14ac:dyDescent="0.3">
      <c r="A354" s="1" t="s">
        <v>724</v>
      </c>
      <c r="B354" s="2">
        <v>45374</v>
      </c>
      <c r="C354" s="1" t="str">
        <f>IF(TRIM(sales_dataset[[#This Row],[SalesChannel]])="",sales_dataset!C355,PROPER(TRIM(sales_dataset[[#This Row],[SalesChannel]])))</f>
        <v>Online</v>
      </c>
      <c r="D354" s="1" t="s">
        <v>519</v>
      </c>
      <c r="E354" s="1" t="str">
        <f>IF(TRIM(sales_dataset[[#This Row],[CustomerName]])="",sales_dataset!F360, PROPER(TRIM(sales_dataset[[#This Row],[CustomerName]])))</f>
        <v>John</v>
      </c>
      <c r="F354" s="1" t="str">
        <f>IF(TRIM(sales_dataset[[#This Row],[City]])="", sales_dataset!$H$3, PROPER(TRIM(sales_dataset[[#This Row],[City]])))</f>
        <v>Bengaluru</v>
      </c>
      <c r="G354" t="str">
        <f>PROPER(sales_dataset[[#This Row],[Region cleaned]])</f>
        <v>North</v>
      </c>
      <c r="H354" t="s">
        <v>173</v>
      </c>
      <c r="I354" t="str">
        <f>IF(TRIM(sales_dataset[[#This Row],[SalespersonName]])="",I357,PROPER(TRIM(sales_dataset[[#This Row],[SalespersonName]])))</f>
        <v>Raj</v>
      </c>
      <c r="J354" s="1" t="s">
        <v>196</v>
      </c>
      <c r="K354" s="1" t="str">
        <f>PROPER(sales_dataset[[#This Row],[ProductCategory cleaned]])</f>
        <v>Home</v>
      </c>
      <c r="L354" s="1" t="str">
        <f>PROPER(sales_dataset[[#This Row],[ProductName]])</f>
        <v>Sofa</v>
      </c>
      <c r="M354">
        <f>ABS(sales_dataset!W:W)</f>
        <v>2</v>
      </c>
      <c r="N354">
        <f>ABS(sales_dataset[[#This Row],[Column4]])</f>
        <v>1500</v>
      </c>
      <c r="O354">
        <f t="shared" si="5"/>
        <v>3000</v>
      </c>
    </row>
    <row r="355" spans="1:15" x14ac:dyDescent="0.3">
      <c r="A355" s="1" t="s">
        <v>725</v>
      </c>
      <c r="B355" s="2">
        <v>45518</v>
      </c>
      <c r="C355" s="1" t="str">
        <f>IF(TRIM(sales_dataset[[#This Row],[SalesChannel]])="",sales_dataset!C356,PROPER(TRIM(sales_dataset[[#This Row],[SalesChannel]])))</f>
        <v>Online</v>
      </c>
      <c r="D355" s="1" t="s">
        <v>545</v>
      </c>
      <c r="E355" s="1" t="str">
        <f>IF(TRIM(sales_dataset[[#This Row],[CustomerName]])="",sales_dataset!F361, PROPER(TRIM(sales_dataset[[#This Row],[CustomerName]])))</f>
        <v>Priya</v>
      </c>
      <c r="F355" s="1" t="str">
        <f>IF(TRIM(sales_dataset[[#This Row],[City]])="", sales_dataset!$H$3, PROPER(TRIM(sales_dataset[[#This Row],[City]])))</f>
        <v>Delhi</v>
      </c>
      <c r="G355" t="str">
        <f>PROPER(sales_dataset[[#This Row],[Region cleaned]])</f>
        <v/>
      </c>
      <c r="H355" t="s">
        <v>177</v>
      </c>
      <c r="I355" t="str">
        <f>IF(TRIM(sales_dataset[[#This Row],[SalespersonName]])="",I358,PROPER(TRIM(sales_dataset[[#This Row],[SalespersonName]])))</f>
        <v>Kevin</v>
      </c>
      <c r="J355" s="1" t="s">
        <v>163</v>
      </c>
      <c r="K355" s="1" t="str">
        <f>PROPER(sales_dataset[[#This Row],[ProductCategory cleaned]])</f>
        <v>Electronics</v>
      </c>
      <c r="L355" s="1" t="str">
        <f>PROPER(sales_dataset[[#This Row],[ProductName]])</f>
        <v>Laptop</v>
      </c>
      <c r="M355">
        <f>ABS(sales_dataset!W:W)</f>
        <v>5</v>
      </c>
      <c r="N355">
        <f>ABS(sales_dataset[[#This Row],[Column4]])</f>
        <v>1500</v>
      </c>
      <c r="O355">
        <f t="shared" si="5"/>
        <v>7500</v>
      </c>
    </row>
    <row r="356" spans="1:15" x14ac:dyDescent="0.3">
      <c r="A356" s="1" t="s">
        <v>726</v>
      </c>
      <c r="B356" s="2">
        <v>45574</v>
      </c>
      <c r="C356" s="1" t="str">
        <f>IF(TRIM(sales_dataset[[#This Row],[SalesChannel]])="",sales_dataset!C357,PROPER(TRIM(sales_dataset[[#This Row],[SalesChannel]])))</f>
        <v>Online</v>
      </c>
      <c r="D356" s="1" t="s">
        <v>727</v>
      </c>
      <c r="E356" s="1" t="str">
        <f>IF(TRIM(sales_dataset[[#This Row],[CustomerName]])="",sales_dataset!F362, PROPER(TRIM(sales_dataset[[#This Row],[CustomerName]])))</f>
        <v>Priya</v>
      </c>
      <c r="F356" s="1" t="str">
        <f>IF(TRIM(sales_dataset[[#This Row],[City]])="", sales_dataset!$H$3, PROPER(TRIM(sales_dataset[[#This Row],[City]])))</f>
        <v>Delhi</v>
      </c>
      <c r="G356" t="str">
        <f>PROPER(sales_dataset[[#This Row],[Region cleaned]])</f>
        <v>East</v>
      </c>
      <c r="H356" t="s">
        <v>501</v>
      </c>
      <c r="I356" t="str">
        <f>IF(TRIM(sales_dataset[[#This Row],[SalespersonName]])="",I359,PROPER(TRIM(sales_dataset[[#This Row],[SalespersonName]])))</f>
        <v>Raj</v>
      </c>
      <c r="J356" s="1" t="s">
        <v>170</v>
      </c>
      <c r="K356" s="1" t="str">
        <f>PROPER(sales_dataset[[#This Row],[ProductCategory cleaned]])</f>
        <v>Home</v>
      </c>
      <c r="L356" s="1" t="str">
        <f>PROPER(sales_dataset[[#This Row],[ProductName]])</f>
        <v>Shirt</v>
      </c>
      <c r="M356">
        <f>ABS(sales_dataset!W:W)</f>
        <v>1</v>
      </c>
      <c r="N356">
        <f>ABS(sales_dataset[[#This Row],[Column4]])</f>
        <v>1500</v>
      </c>
      <c r="O356">
        <f t="shared" si="5"/>
        <v>1500</v>
      </c>
    </row>
    <row r="357" spans="1:15" x14ac:dyDescent="0.3">
      <c r="A357" s="1" t="s">
        <v>728</v>
      </c>
      <c r="B357" s="2">
        <v>45510</v>
      </c>
      <c r="C357" s="1" t="str">
        <f>IF(TRIM(sales_dataset[[#This Row],[SalesChannel]])="",sales_dataset!C358,PROPER(TRIM(sales_dataset[[#This Row],[SalesChannel]])))</f>
        <v>Offline</v>
      </c>
      <c r="D357" s="1" t="s">
        <v>697</v>
      </c>
      <c r="E357" s="1" t="str">
        <f>IF(TRIM(sales_dataset[[#This Row],[CustomerName]])="",sales_dataset!F363, PROPER(TRIM(sales_dataset[[#This Row],[CustomerName]])))</f>
        <v>Sara</v>
      </c>
      <c r="F357" s="1" t="str">
        <f>IF(TRIM(sales_dataset[[#This Row],[City]])="", sales_dataset!$H$3, PROPER(TRIM(sales_dataset[[#This Row],[City]])))</f>
        <v>Hyderabad</v>
      </c>
      <c r="G357" t="str">
        <f>PROPER(sales_dataset[[#This Row],[Region cleaned]])</f>
        <v/>
      </c>
      <c r="H357" t="s">
        <v>29</v>
      </c>
      <c r="I357" t="str">
        <f>IF(TRIM(sales_dataset[[#This Row],[SalespersonName]])="",I360,PROPER(TRIM(sales_dataset[[#This Row],[SalespersonName]])))</f>
        <v>Raj</v>
      </c>
      <c r="J357" s="1" t="s">
        <v>166</v>
      </c>
      <c r="K357" s="1" t="str">
        <f>PROPER(sales_dataset[[#This Row],[ProductCategory cleaned]])</f>
        <v>Clothing</v>
      </c>
      <c r="L357" s="1" t="str">
        <f>PROPER(sales_dataset[[#This Row],[ProductName]])</f>
        <v>Laptop</v>
      </c>
      <c r="M357">
        <f>ABS(sales_dataset!W:W)</f>
        <v>4</v>
      </c>
      <c r="N357">
        <f>ABS(sales_dataset[[#This Row],[Column4]])</f>
        <v>1500</v>
      </c>
      <c r="O357">
        <f t="shared" si="5"/>
        <v>6000</v>
      </c>
    </row>
    <row r="358" spans="1:15" x14ac:dyDescent="0.3">
      <c r="A358" s="1" t="s">
        <v>729</v>
      </c>
      <c r="B358" s="2">
        <v>45579</v>
      </c>
      <c r="C358" s="1" t="str">
        <f>IF(TRIM(sales_dataset[[#This Row],[SalesChannel]])="",sales_dataset!C359,PROPER(TRIM(sales_dataset[[#This Row],[SalesChannel]])))</f>
        <v>Store</v>
      </c>
      <c r="D358" s="1" t="s">
        <v>429</v>
      </c>
      <c r="E358" s="1" t="str">
        <f>IF(TRIM(sales_dataset[[#This Row],[CustomerName]])="",sales_dataset!F364, PROPER(TRIM(sales_dataset[[#This Row],[CustomerName]])))</f>
        <v>Amit</v>
      </c>
      <c r="F358" s="1" t="str">
        <f>IF(TRIM(sales_dataset[[#This Row],[City]])="", sales_dataset!$H$3, PROPER(TRIM(sales_dataset[[#This Row],[City]])))</f>
        <v>Delhi</v>
      </c>
      <c r="G358" t="str">
        <f>PROPER(sales_dataset[[#This Row],[Region cleaned]])</f>
        <v>East</v>
      </c>
      <c r="H358" t="s">
        <v>510</v>
      </c>
      <c r="I358" t="str">
        <f>IF(TRIM(sales_dataset[[#This Row],[SalespersonName]])="",I361,PROPER(TRIM(sales_dataset[[#This Row],[SalespersonName]])))</f>
        <v>Anita</v>
      </c>
      <c r="J358" s="1" t="s">
        <v>133</v>
      </c>
      <c r="K358" s="1" t="str">
        <f>PROPER(sales_dataset[[#This Row],[ProductCategory cleaned]])</f>
        <v>Electronics</v>
      </c>
      <c r="L358" s="1" t="str">
        <f>PROPER(sales_dataset[[#This Row],[ProductName]])</f>
        <v>Watch</v>
      </c>
      <c r="M358">
        <f>ABS(sales_dataset!W:W)</f>
        <v>1</v>
      </c>
      <c r="N358">
        <f>ABS(sales_dataset[[#This Row],[Column4]])</f>
        <v>1500</v>
      </c>
      <c r="O358">
        <f t="shared" si="5"/>
        <v>1500</v>
      </c>
    </row>
    <row r="359" spans="1:15" x14ac:dyDescent="0.3">
      <c r="A359" s="1" t="s">
        <v>730</v>
      </c>
      <c r="B359" s="2">
        <v>45296</v>
      </c>
      <c r="C359" s="1" t="str">
        <f>IF(TRIM(sales_dataset[[#This Row],[SalesChannel]])="",sales_dataset!C360,PROPER(TRIM(sales_dataset[[#This Row],[SalesChannel]])))</f>
        <v>Store</v>
      </c>
      <c r="D359" s="1" t="s">
        <v>320</v>
      </c>
      <c r="E359" s="1" t="str">
        <f>IF(TRIM(sales_dataset[[#This Row],[CustomerName]])="",sales_dataset!F365, PROPER(TRIM(sales_dataset[[#This Row],[CustomerName]])))</f>
        <v>Priya</v>
      </c>
      <c r="F359" s="1" t="str">
        <f>IF(TRIM(sales_dataset[[#This Row],[City]])="", sales_dataset!$H$3, PROPER(TRIM(sales_dataset[[#This Row],[City]])))</f>
        <v>Delhi</v>
      </c>
      <c r="G359" t="str">
        <f>PROPER(sales_dataset[[#This Row],[Region cleaned]])</f>
        <v>North</v>
      </c>
      <c r="H359" t="s">
        <v>237</v>
      </c>
      <c r="I359" t="str">
        <f>IF(TRIM(sales_dataset[[#This Row],[SalespersonName]])="",I362,PROPER(TRIM(sales_dataset[[#This Row],[SalespersonName]])))</f>
        <v>Megha</v>
      </c>
      <c r="J359" s="1" t="s">
        <v>68</v>
      </c>
      <c r="K359" s="1" t="str">
        <f>PROPER(sales_dataset[[#This Row],[ProductCategory cleaned]])</f>
        <v>Home</v>
      </c>
      <c r="L359" s="1" t="str">
        <f>PROPER(sales_dataset[[#This Row],[ProductName]])</f>
        <v/>
      </c>
      <c r="M359">
        <f>ABS(sales_dataset!W:W)</f>
        <v>4</v>
      </c>
      <c r="N359">
        <f>ABS(sales_dataset[[#This Row],[Column4]])</f>
        <v>1500</v>
      </c>
      <c r="O359">
        <f t="shared" si="5"/>
        <v>6000</v>
      </c>
    </row>
    <row r="360" spans="1:15" x14ac:dyDescent="0.3">
      <c r="A360" s="1" t="s">
        <v>731</v>
      </c>
      <c r="B360" s="2">
        <v>45349</v>
      </c>
      <c r="C360" s="1" t="str">
        <f>IF(TRIM(sales_dataset[[#This Row],[SalesChannel]])="",sales_dataset!C361,PROPER(TRIM(sales_dataset[[#This Row],[SalesChannel]])))</f>
        <v>Online</v>
      </c>
      <c r="D360" s="1" t="s">
        <v>223</v>
      </c>
      <c r="E360" s="1" t="str">
        <f>IF(TRIM(sales_dataset[[#This Row],[CustomerName]])="",sales_dataset!F366, PROPER(TRIM(sales_dataset[[#This Row],[CustomerName]])))</f>
        <v>Priya</v>
      </c>
      <c r="F360" s="1" t="str">
        <f>IF(TRIM(sales_dataset[[#This Row],[City]])="", sales_dataset!$H$3, PROPER(TRIM(sales_dataset[[#This Row],[City]])))</f>
        <v>Delhi</v>
      </c>
      <c r="G360" t="str">
        <f>PROPER(sales_dataset[[#This Row],[Region cleaned]])</f>
        <v>North</v>
      </c>
      <c r="H360" t="s">
        <v>218</v>
      </c>
      <c r="I360" t="str">
        <f>IF(TRIM(sales_dataset[[#This Row],[SalespersonName]])="",I363,PROPER(TRIM(sales_dataset[[#This Row],[SalespersonName]])))</f>
        <v>Raj</v>
      </c>
      <c r="J360" s="1" t="s">
        <v>651</v>
      </c>
      <c r="K360" s="1" t="str">
        <f>PROPER(sales_dataset[[#This Row],[ProductCategory cleaned]])</f>
        <v>Home</v>
      </c>
      <c r="L360" s="1" t="str">
        <f>PROPER(sales_dataset[[#This Row],[ProductName]])</f>
        <v>Tv</v>
      </c>
      <c r="M360">
        <f>ABS(sales_dataset!W:W)</f>
        <v>1</v>
      </c>
      <c r="N360">
        <f>ABS(sales_dataset[[#This Row],[Column4]])</f>
        <v>2000</v>
      </c>
      <c r="O360">
        <f t="shared" si="5"/>
        <v>2000</v>
      </c>
    </row>
    <row r="361" spans="1:15" x14ac:dyDescent="0.3">
      <c r="A361" s="1" t="s">
        <v>732</v>
      </c>
      <c r="B361" s="2">
        <v>45330</v>
      </c>
      <c r="C361" s="1" t="str">
        <f>IF(TRIM(sales_dataset[[#This Row],[SalesChannel]])="",sales_dataset!C362,PROPER(TRIM(sales_dataset[[#This Row],[SalesChannel]])))</f>
        <v>Online</v>
      </c>
      <c r="D361" s="1" t="s">
        <v>543</v>
      </c>
      <c r="E361" s="1" t="str">
        <f>IF(TRIM(sales_dataset[[#This Row],[CustomerName]])="",sales_dataset!F367, PROPER(TRIM(sales_dataset[[#This Row],[CustomerName]])))</f>
        <v>John</v>
      </c>
      <c r="F361" s="1" t="str">
        <f>IF(TRIM(sales_dataset[[#This Row],[City]])="", sales_dataset!$H$3, PROPER(TRIM(sales_dataset[[#This Row],[City]])))</f>
        <v>Mumbai</v>
      </c>
      <c r="G361" t="str">
        <f>PROPER(sales_dataset[[#This Row],[Region cleaned]])</f>
        <v>North</v>
      </c>
      <c r="H361" t="s">
        <v>38</v>
      </c>
      <c r="I361" t="str">
        <f>IF(TRIM(sales_dataset[[#This Row],[SalespersonName]])="",I364,PROPER(TRIM(sales_dataset[[#This Row],[SalespersonName]])))</f>
        <v>Kevin</v>
      </c>
      <c r="J361" s="1" t="s">
        <v>184</v>
      </c>
      <c r="K361" s="1" t="str">
        <f>PROPER(sales_dataset[[#This Row],[ProductCategory cleaned]])</f>
        <v>Clothing</v>
      </c>
      <c r="L361" s="1" t="str">
        <f>PROPER(sales_dataset[[#This Row],[ProductName]])</f>
        <v>Laptop</v>
      </c>
      <c r="M361">
        <f>ABS(sales_dataset!W:W)</f>
        <v>2</v>
      </c>
      <c r="N361">
        <f>ABS(sales_dataset[[#This Row],[Column4]])</f>
        <v>1500</v>
      </c>
      <c r="O361">
        <f t="shared" si="5"/>
        <v>3000</v>
      </c>
    </row>
    <row r="362" spans="1:15" x14ac:dyDescent="0.3">
      <c r="A362" s="1" t="s">
        <v>733</v>
      </c>
      <c r="B362" s="2">
        <v>45368</v>
      </c>
      <c r="C362" s="1" t="str">
        <f>IF(TRIM(sales_dataset[[#This Row],[SalesChannel]])="",sales_dataset!C363,PROPER(TRIM(sales_dataset[[#This Row],[SalesChannel]])))</f>
        <v>Online</v>
      </c>
      <c r="D362" s="1" t="s">
        <v>682</v>
      </c>
      <c r="E362" s="1" t="str">
        <f>IF(TRIM(sales_dataset[[#This Row],[CustomerName]])="",sales_dataset!F368, PROPER(TRIM(sales_dataset[[#This Row],[CustomerName]])))</f>
        <v>Priya</v>
      </c>
      <c r="F362" s="1" t="str">
        <f>IF(TRIM(sales_dataset[[#This Row],[City]])="", sales_dataset!$H$3, PROPER(TRIM(sales_dataset[[#This Row],[City]])))</f>
        <v>Mumbai</v>
      </c>
      <c r="G362" t="str">
        <f>PROPER(sales_dataset[[#This Row],[Region cleaned]])</f>
        <v>North</v>
      </c>
      <c r="H362" t="s">
        <v>47</v>
      </c>
      <c r="I362" t="str">
        <f>IF(TRIM(sales_dataset[[#This Row],[SalespersonName]])="",I365,PROPER(TRIM(sales_dataset[[#This Row],[SalespersonName]])))</f>
        <v>Sam</v>
      </c>
      <c r="J362" s="1" t="s">
        <v>288</v>
      </c>
      <c r="K362" s="1" t="str">
        <f>PROPER(sales_dataset[[#This Row],[ProductCategory cleaned]])</f>
        <v>Electronics</v>
      </c>
      <c r="L362" s="1" t="str">
        <f>PROPER(sales_dataset[[#This Row],[ProductName]])</f>
        <v>Shirt</v>
      </c>
      <c r="M362">
        <f>ABS(sales_dataset!W:W)</f>
        <v>1</v>
      </c>
      <c r="N362">
        <f>ABS(sales_dataset[[#This Row],[Column4]])</f>
        <v>500</v>
      </c>
      <c r="O362">
        <f t="shared" si="5"/>
        <v>500</v>
      </c>
    </row>
    <row r="363" spans="1:15" x14ac:dyDescent="0.3">
      <c r="A363" s="1" t="s">
        <v>734</v>
      </c>
      <c r="B363" s="2">
        <v>45571</v>
      </c>
      <c r="C363" s="1" t="str">
        <f>IF(TRIM(sales_dataset[[#This Row],[SalesChannel]])="",sales_dataset!C364,PROPER(TRIM(sales_dataset[[#This Row],[SalesChannel]])))</f>
        <v>Offline</v>
      </c>
      <c r="D363" s="1" t="s">
        <v>436</v>
      </c>
      <c r="E363" s="1" t="str">
        <f>IF(TRIM(sales_dataset[[#This Row],[CustomerName]])="",sales_dataset!F369, PROPER(TRIM(sales_dataset[[#This Row],[CustomerName]])))</f>
        <v>John</v>
      </c>
      <c r="F363" s="1" t="str">
        <f>IF(TRIM(sales_dataset[[#This Row],[City]])="", sales_dataset!$H$3, PROPER(TRIM(sales_dataset[[#This Row],[City]])))</f>
        <v>Delhi</v>
      </c>
      <c r="G363" t="str">
        <f>PROPER(sales_dataset[[#This Row],[Region cleaned]])</f>
        <v>East</v>
      </c>
      <c r="H363" t="s">
        <v>227</v>
      </c>
      <c r="I363" t="str">
        <f>IF(TRIM(sales_dataset[[#This Row],[SalespersonName]])="",I366,PROPER(TRIM(sales_dataset[[#This Row],[SalespersonName]])))</f>
        <v>Sam</v>
      </c>
      <c r="J363" s="1" t="s">
        <v>291</v>
      </c>
      <c r="K363" s="1" t="str">
        <f>PROPER(sales_dataset[[#This Row],[ProductCategory cleaned]])</f>
        <v>Home</v>
      </c>
      <c r="L363" s="1" t="str">
        <f>PROPER(sales_dataset[[#This Row],[ProductName]])</f>
        <v>Watch</v>
      </c>
      <c r="M363">
        <f>ABS(sales_dataset!W:W)</f>
        <v>1</v>
      </c>
      <c r="N363">
        <f>ABS(sales_dataset[[#This Row],[Column4]])</f>
        <v>1500</v>
      </c>
      <c r="O363">
        <f t="shared" si="5"/>
        <v>1500</v>
      </c>
    </row>
    <row r="364" spans="1:15" x14ac:dyDescent="0.3">
      <c r="A364" s="1" t="s">
        <v>735</v>
      </c>
      <c r="B364" s="2">
        <v>45310</v>
      </c>
      <c r="C364" s="1" t="str">
        <f>IF(TRIM(sales_dataset[[#This Row],[SalesChannel]])="",sales_dataset!C365,PROPER(TRIM(sales_dataset[[#This Row],[SalesChannel]])))</f>
        <v>Store</v>
      </c>
      <c r="D364" s="1" t="s">
        <v>425</v>
      </c>
      <c r="E364" s="1" t="str">
        <f>IF(TRIM(sales_dataset[[#This Row],[CustomerName]])="",sales_dataset!F370, PROPER(TRIM(sales_dataset[[#This Row],[CustomerName]])))</f>
        <v>Amit</v>
      </c>
      <c r="F364" s="1" t="str">
        <f>IF(TRIM(sales_dataset[[#This Row],[City]])="", sales_dataset!$H$3, PROPER(TRIM(sales_dataset[[#This Row],[City]])))</f>
        <v>Delhi</v>
      </c>
      <c r="G364" t="str">
        <f>PROPER(sales_dataset[[#This Row],[Region cleaned]])</f>
        <v>East</v>
      </c>
      <c r="H364" t="s">
        <v>241</v>
      </c>
      <c r="I364" t="str">
        <f>IF(TRIM(sales_dataset[[#This Row],[SalespersonName]])="",I367,PROPER(TRIM(sales_dataset[[#This Row],[SalespersonName]])))</f>
        <v>Sam</v>
      </c>
      <c r="J364" s="1" t="s">
        <v>455</v>
      </c>
      <c r="K364" s="1" t="str">
        <f>PROPER(sales_dataset[[#This Row],[ProductCategory cleaned]])</f>
        <v>Electronics</v>
      </c>
      <c r="L364" s="1" t="str">
        <f>PROPER(sales_dataset[[#This Row],[ProductName]])</f>
        <v/>
      </c>
      <c r="M364">
        <f>ABS(sales_dataset!W:W)</f>
        <v>4</v>
      </c>
      <c r="N364">
        <f>ABS(sales_dataset[[#This Row],[Column4]])</f>
        <v>100</v>
      </c>
      <c r="O364">
        <f t="shared" si="5"/>
        <v>400</v>
      </c>
    </row>
    <row r="365" spans="1:15" x14ac:dyDescent="0.3">
      <c r="A365" s="1" t="s">
        <v>736</v>
      </c>
      <c r="B365" s="2">
        <v>45481</v>
      </c>
      <c r="C365" s="1" t="str">
        <f>IF(TRIM(sales_dataset[[#This Row],[SalesChannel]])="",sales_dataset!C366,PROPER(TRIM(sales_dataset[[#This Row],[SalesChannel]])))</f>
        <v>Store</v>
      </c>
      <c r="D365" s="1" t="s">
        <v>320</v>
      </c>
      <c r="E365" s="1" t="str">
        <f>IF(TRIM(sales_dataset[[#This Row],[CustomerName]])="",sales_dataset!F371, PROPER(TRIM(sales_dataset[[#This Row],[CustomerName]])))</f>
        <v>Sara</v>
      </c>
      <c r="F365" s="1" t="str">
        <f>IF(TRIM(sales_dataset[[#This Row],[City]])="", sales_dataset!$H$3, PROPER(TRIM(sales_dataset[[#This Row],[City]])))</f>
        <v>Mumbai</v>
      </c>
      <c r="G365" t="str">
        <f>PROPER(sales_dataset[[#This Row],[Region cleaned]])</f>
        <v>South</v>
      </c>
      <c r="H365" t="s">
        <v>103</v>
      </c>
      <c r="I365" t="str">
        <f>IF(TRIM(sales_dataset[[#This Row],[SalespersonName]])="",I368,PROPER(TRIM(sales_dataset[[#This Row],[SalespersonName]])))</f>
        <v>Anita</v>
      </c>
      <c r="J365" s="1" t="s">
        <v>112</v>
      </c>
      <c r="K365" s="1" t="str">
        <f>PROPER(sales_dataset[[#This Row],[ProductCategory cleaned]])</f>
        <v>Electronics</v>
      </c>
      <c r="L365" s="1" t="str">
        <f>PROPER(sales_dataset[[#This Row],[ProductName]])</f>
        <v>Shirt</v>
      </c>
      <c r="M365">
        <f>ABS(sales_dataset!W:W)</f>
        <v>3</v>
      </c>
      <c r="N365">
        <f>ABS(sales_dataset[[#This Row],[Column4]])</f>
        <v>0</v>
      </c>
      <c r="O365">
        <f t="shared" si="5"/>
        <v>0</v>
      </c>
    </row>
    <row r="366" spans="1:15" x14ac:dyDescent="0.3">
      <c r="A366" s="1" t="s">
        <v>737</v>
      </c>
      <c r="B366" s="2">
        <v>45590</v>
      </c>
      <c r="C366" s="1" t="str">
        <f>IF(TRIM(sales_dataset[[#This Row],[SalesChannel]])="",sales_dataset!C367,PROPER(TRIM(sales_dataset[[#This Row],[SalesChannel]])))</f>
        <v>Online</v>
      </c>
      <c r="D366" s="1" t="s">
        <v>466</v>
      </c>
      <c r="E366" s="1" t="str">
        <f>IF(TRIM(sales_dataset[[#This Row],[CustomerName]])="",sales_dataset!F372, PROPER(TRIM(sales_dataset[[#This Row],[CustomerName]])))</f>
        <v>Amit</v>
      </c>
      <c r="F366" s="1" t="str">
        <f>IF(TRIM(sales_dataset[[#This Row],[City]])="", sales_dataset!$H$3, PROPER(TRIM(sales_dataset[[#This Row],[City]])))</f>
        <v>Chennai</v>
      </c>
      <c r="G366" t="str">
        <f>PROPER(sales_dataset[[#This Row],[Region cleaned]])</f>
        <v/>
      </c>
      <c r="H366" t="s">
        <v>47</v>
      </c>
      <c r="I366" t="str">
        <f>IF(TRIM(sales_dataset[[#This Row],[SalespersonName]])="",I369,PROPER(TRIM(sales_dataset[[#This Row],[SalespersonName]])))</f>
        <v>Kevin</v>
      </c>
      <c r="J366" s="1" t="s">
        <v>308</v>
      </c>
      <c r="K366" s="1" t="str">
        <f>PROPER(sales_dataset[[#This Row],[ProductCategory cleaned]])</f>
        <v>Electronics</v>
      </c>
      <c r="L366" s="1" t="str">
        <f>PROPER(sales_dataset[[#This Row],[ProductName]])</f>
        <v>Shirt</v>
      </c>
      <c r="M366">
        <f>ABS(sales_dataset!W:W)</f>
        <v>2</v>
      </c>
      <c r="N366">
        <f>ABS(sales_dataset[[#This Row],[Column4]])</f>
        <v>500</v>
      </c>
      <c r="O366">
        <f t="shared" si="5"/>
        <v>1000</v>
      </c>
    </row>
    <row r="367" spans="1:15" x14ac:dyDescent="0.3">
      <c r="A367" s="1" t="s">
        <v>738</v>
      </c>
      <c r="B367" s="2">
        <v>45574</v>
      </c>
      <c r="C367" s="1" t="str">
        <f>IF(TRIM(sales_dataset[[#This Row],[SalesChannel]])="",sales_dataset!C368,PROPER(TRIM(sales_dataset[[#This Row],[SalesChannel]])))</f>
        <v>Online</v>
      </c>
      <c r="D367" s="1" t="s">
        <v>275</v>
      </c>
      <c r="E367" s="1" t="str">
        <f>IF(TRIM(sales_dataset[[#This Row],[CustomerName]])="",sales_dataset!F373, PROPER(TRIM(sales_dataset[[#This Row],[CustomerName]])))</f>
        <v>John</v>
      </c>
      <c r="F367" s="1" t="str">
        <f>IF(TRIM(sales_dataset[[#This Row],[City]])="", sales_dataset!$H$3, PROPER(TRIM(sales_dataset[[#This Row],[City]])))</f>
        <v>Chennai</v>
      </c>
      <c r="G367" t="str">
        <f>PROPER(sales_dataset[[#This Row],[Region cleaned]])</f>
        <v/>
      </c>
      <c r="H367" t="s">
        <v>74</v>
      </c>
      <c r="I367" t="str">
        <f>IF(TRIM(sales_dataset[[#This Row],[SalespersonName]])="",I370,PROPER(TRIM(sales_dataset[[#This Row],[SalespersonName]])))</f>
        <v>Raj</v>
      </c>
      <c r="J367" s="1" t="s">
        <v>353</v>
      </c>
      <c r="K367" s="1" t="str">
        <f>PROPER(sales_dataset[[#This Row],[ProductCategory cleaned]])</f>
        <v>Home</v>
      </c>
      <c r="L367" s="1" t="str">
        <f>PROPER(sales_dataset[[#This Row],[ProductName]])</f>
        <v>Shirt</v>
      </c>
      <c r="M367">
        <f>ABS(sales_dataset!W:W)</f>
        <v>3</v>
      </c>
      <c r="N367">
        <f>ABS(sales_dataset[[#This Row],[Column4]])</f>
        <v>100</v>
      </c>
      <c r="O367">
        <f t="shared" si="5"/>
        <v>300</v>
      </c>
    </row>
    <row r="368" spans="1:15" x14ac:dyDescent="0.3">
      <c r="A368" s="1" t="s">
        <v>739</v>
      </c>
      <c r="B368" s="2">
        <v>45367</v>
      </c>
      <c r="C368" s="1" t="str">
        <f>IF(TRIM(sales_dataset[[#This Row],[SalesChannel]])="",sales_dataset!C369,PROPER(TRIM(sales_dataset[[#This Row],[SalesChannel]])))</f>
        <v>Online</v>
      </c>
      <c r="D368" s="1" t="s">
        <v>740</v>
      </c>
      <c r="E368" s="1" t="str">
        <f>IF(TRIM(sales_dataset[[#This Row],[CustomerName]])="",sales_dataset!F374, PROPER(TRIM(sales_dataset[[#This Row],[CustomerName]])))</f>
        <v>Sara</v>
      </c>
      <c r="F368" s="1" t="str">
        <f>IF(TRIM(sales_dataset[[#This Row],[City]])="", sales_dataset!$H$3, PROPER(TRIM(sales_dataset[[#This Row],[City]])))</f>
        <v>Delhi</v>
      </c>
      <c r="G368" t="str">
        <f>PROPER(sales_dataset[[#This Row],[Region cleaned]])</f>
        <v>South</v>
      </c>
      <c r="H368" t="s">
        <v>140</v>
      </c>
      <c r="I368" t="str">
        <f>IF(TRIM(sales_dataset[[#This Row],[SalespersonName]])="",I371,PROPER(TRIM(sales_dataset[[#This Row],[SalespersonName]])))</f>
        <v>Anita</v>
      </c>
      <c r="J368" s="1" t="s">
        <v>477</v>
      </c>
      <c r="K368" s="1" t="str">
        <f>PROPER(sales_dataset[[#This Row],[ProductCategory cleaned]])</f>
        <v>Home</v>
      </c>
      <c r="L368" s="1" t="str">
        <f>PROPER(sales_dataset[[#This Row],[ProductName]])</f>
        <v>Shirt</v>
      </c>
      <c r="M368">
        <f>ABS(sales_dataset!W:W)</f>
        <v>3</v>
      </c>
      <c r="N368">
        <f>ABS(sales_dataset[[#This Row],[Column4]])</f>
        <v>2500</v>
      </c>
      <c r="O368">
        <f t="shared" si="5"/>
        <v>7500</v>
      </c>
    </row>
    <row r="369" spans="1:15" x14ac:dyDescent="0.3">
      <c r="A369" s="1" t="s">
        <v>741</v>
      </c>
      <c r="B369" s="2">
        <v>45512</v>
      </c>
      <c r="C369" s="1" t="str">
        <f>IF(TRIM(sales_dataset[[#This Row],[SalesChannel]])="",sales_dataset!C370,PROPER(TRIM(sales_dataset[[#This Row],[SalesChannel]])))</f>
        <v>Offline</v>
      </c>
      <c r="D369" s="1" t="s">
        <v>548</v>
      </c>
      <c r="E369" s="1" t="str">
        <f>IF(TRIM(sales_dataset[[#This Row],[CustomerName]])="",sales_dataset!F375, PROPER(TRIM(sales_dataset[[#This Row],[CustomerName]])))</f>
        <v>John</v>
      </c>
      <c r="F369" s="1" t="str">
        <f>IF(TRIM(sales_dataset[[#This Row],[City]])="", sales_dataset!$H$3, PROPER(TRIM(sales_dataset[[#This Row],[City]])))</f>
        <v>Hyderabad</v>
      </c>
      <c r="G369" t="str">
        <f>PROPER(sales_dataset[[#This Row],[Region cleaned]])</f>
        <v>East</v>
      </c>
      <c r="H369" t="s">
        <v>67</v>
      </c>
      <c r="I369" t="str">
        <f>IF(TRIM(sales_dataset[[#This Row],[SalespersonName]])="",I372,PROPER(TRIM(sales_dataset[[#This Row],[SalespersonName]])))</f>
        <v>Kevin</v>
      </c>
      <c r="J369" s="1" t="s">
        <v>467</v>
      </c>
      <c r="K369" s="1" t="str">
        <f>PROPER(sales_dataset[[#This Row],[ProductCategory cleaned]])</f>
        <v>Clothing</v>
      </c>
      <c r="L369" s="1" t="str">
        <f>PROPER(sales_dataset[[#This Row],[ProductName]])</f>
        <v>Shirt</v>
      </c>
      <c r="M369">
        <f>ABS(sales_dataset!W:W)</f>
        <v>1</v>
      </c>
      <c r="N369">
        <f>ABS(sales_dataset[[#This Row],[Column4]])</f>
        <v>100</v>
      </c>
      <c r="O369">
        <f t="shared" si="5"/>
        <v>100</v>
      </c>
    </row>
    <row r="370" spans="1:15" x14ac:dyDescent="0.3">
      <c r="A370" s="1" t="s">
        <v>742</v>
      </c>
      <c r="B370" s="2">
        <v>45357</v>
      </c>
      <c r="C370" s="1" t="str">
        <f>IF(TRIM(sales_dataset[[#This Row],[SalesChannel]])="",sales_dataset!C371,PROPER(TRIM(sales_dataset[[#This Row],[SalesChannel]])))</f>
        <v>Store</v>
      </c>
      <c r="D370" s="1" t="s">
        <v>743</v>
      </c>
      <c r="E370" s="1" t="str">
        <f>IF(TRIM(sales_dataset[[#This Row],[CustomerName]])="",sales_dataset!F376, PROPER(TRIM(sales_dataset[[#This Row],[CustomerName]])))</f>
        <v/>
      </c>
      <c r="F370" s="1" t="str">
        <f>IF(TRIM(sales_dataset[[#This Row],[City]])="", sales_dataset!$H$3, PROPER(TRIM(sales_dataset[[#This Row],[City]])))</f>
        <v>Delhi</v>
      </c>
      <c r="G370" t="str">
        <f>PROPER(sales_dataset[[#This Row],[Region cleaned]])</f>
        <v>South</v>
      </c>
      <c r="H370" t="s">
        <v>318</v>
      </c>
      <c r="I370" t="str">
        <f>IF(TRIM(sales_dataset[[#This Row],[SalespersonName]])="",I373,PROPER(TRIM(sales_dataset[[#This Row],[SalespersonName]])))</f>
        <v>Anita</v>
      </c>
      <c r="J370" s="1" t="s">
        <v>181</v>
      </c>
      <c r="K370" s="1" t="str">
        <f>PROPER(sales_dataset[[#This Row],[ProductCategory cleaned]])</f>
        <v>Clothing</v>
      </c>
      <c r="L370" s="1" t="str">
        <f>PROPER(sales_dataset[[#This Row],[ProductName]])</f>
        <v>Sofa</v>
      </c>
      <c r="M370">
        <f>ABS(sales_dataset!W:W)</f>
        <v>5</v>
      </c>
      <c r="N370">
        <f>ABS(sales_dataset[[#This Row],[Column4]])</f>
        <v>2000</v>
      </c>
      <c r="O370">
        <f t="shared" si="5"/>
        <v>10000</v>
      </c>
    </row>
    <row r="371" spans="1:15" x14ac:dyDescent="0.3">
      <c r="A371" s="1" t="s">
        <v>744</v>
      </c>
      <c r="B371" s="2">
        <v>45313</v>
      </c>
      <c r="C371" s="1" t="str">
        <f>IF(TRIM(sales_dataset[[#This Row],[SalesChannel]])="",sales_dataset!C372,PROPER(TRIM(sales_dataset[[#This Row],[SalesChannel]])))</f>
        <v>Store</v>
      </c>
      <c r="D371" s="1" t="s">
        <v>315</v>
      </c>
      <c r="E371" s="1" t="str">
        <f>IF(TRIM(sales_dataset[[#This Row],[CustomerName]])="",sales_dataset!F377, PROPER(TRIM(sales_dataset[[#This Row],[CustomerName]])))</f>
        <v>Priya</v>
      </c>
      <c r="F371" s="1" t="str">
        <f>IF(TRIM(sales_dataset[[#This Row],[City]])="", sales_dataset!$H$3, PROPER(TRIM(sales_dataset[[#This Row],[City]])))</f>
        <v>Hyderabad</v>
      </c>
      <c r="G371" t="str">
        <f>PROPER(sales_dataset[[#This Row],[Region cleaned]])</f>
        <v>East</v>
      </c>
      <c r="H371" t="s">
        <v>162</v>
      </c>
      <c r="I371" t="str">
        <f>IF(TRIM(sales_dataset[[#This Row],[SalespersonName]])="",I374,PROPER(TRIM(sales_dataset[[#This Row],[SalespersonName]])))</f>
        <v>Anita</v>
      </c>
      <c r="J371" s="1" t="s">
        <v>448</v>
      </c>
      <c r="K371" s="1" t="str">
        <f>PROPER(sales_dataset[[#This Row],[ProductCategory cleaned]])</f>
        <v>Electronics</v>
      </c>
      <c r="L371" s="1" t="str">
        <f>PROPER(sales_dataset[[#This Row],[ProductName]])</f>
        <v>Sofa</v>
      </c>
      <c r="M371">
        <f>ABS(sales_dataset!W:W)</f>
        <v>2</v>
      </c>
      <c r="N371">
        <f>ABS(sales_dataset[[#This Row],[Column4]])</f>
        <v>500</v>
      </c>
      <c r="O371">
        <f t="shared" si="5"/>
        <v>1000</v>
      </c>
    </row>
    <row r="372" spans="1:15" x14ac:dyDescent="0.3">
      <c r="A372" s="1" t="s">
        <v>745</v>
      </c>
      <c r="B372" s="2">
        <v>45449</v>
      </c>
      <c r="C372" s="1" t="str">
        <f>IF(TRIM(sales_dataset[[#This Row],[SalesChannel]])="",sales_dataset!C373,PROPER(TRIM(sales_dataset[[#This Row],[SalesChannel]])))</f>
        <v>Online</v>
      </c>
      <c r="D372" s="1" t="s">
        <v>746</v>
      </c>
      <c r="E372" s="1" t="str">
        <f>IF(TRIM(sales_dataset[[#This Row],[CustomerName]])="",sales_dataset!F378, PROPER(TRIM(sales_dataset[[#This Row],[CustomerName]])))</f>
        <v>Priya</v>
      </c>
      <c r="F372" s="1" t="str">
        <f>IF(TRIM(sales_dataset[[#This Row],[City]])="", sales_dataset!$H$3, PROPER(TRIM(sales_dataset[[#This Row],[City]])))</f>
        <v>Chennai</v>
      </c>
      <c r="G372" t="str">
        <f>PROPER(sales_dataset[[#This Row],[Region cleaned]])</f>
        <v>North</v>
      </c>
      <c r="H372" t="s">
        <v>193</v>
      </c>
      <c r="I372" t="str">
        <f>IF(TRIM(sales_dataset[[#This Row],[SalespersonName]])="",I375,PROPER(TRIM(sales_dataset[[#This Row],[SalespersonName]])))</f>
        <v>Megha</v>
      </c>
      <c r="J372" s="1" t="s">
        <v>609</v>
      </c>
      <c r="K372" s="1" t="str">
        <f>PROPER(sales_dataset[[#This Row],[ProductCategory cleaned]])</f>
        <v>Clothing</v>
      </c>
      <c r="L372" s="1" t="str">
        <f>PROPER(sales_dataset[[#This Row],[ProductName]])</f>
        <v/>
      </c>
      <c r="M372">
        <f>ABS(sales_dataset!W:W)</f>
        <v>5</v>
      </c>
      <c r="N372">
        <f>ABS(sales_dataset[[#This Row],[Column4]])</f>
        <v>2000</v>
      </c>
      <c r="O372">
        <f t="shared" si="5"/>
        <v>10000</v>
      </c>
    </row>
    <row r="373" spans="1:15" x14ac:dyDescent="0.3">
      <c r="A373" s="1" t="s">
        <v>747</v>
      </c>
      <c r="B373" s="2">
        <v>45478</v>
      </c>
      <c r="C373" s="1" t="str">
        <f>IF(TRIM(sales_dataset[[#This Row],[SalesChannel]])="",sales_dataset!C374,PROPER(TRIM(sales_dataset[[#This Row],[SalesChannel]])))</f>
        <v>Online</v>
      </c>
      <c r="D373" s="1" t="s">
        <v>525</v>
      </c>
      <c r="E373" s="1" t="str">
        <f>IF(TRIM(sales_dataset[[#This Row],[CustomerName]])="",sales_dataset!F379, PROPER(TRIM(sales_dataset[[#This Row],[CustomerName]])))</f>
        <v>Priya</v>
      </c>
      <c r="F373" s="1" t="str">
        <f>IF(TRIM(sales_dataset[[#This Row],[City]])="", sales_dataset!$H$3, PROPER(TRIM(sales_dataset[[#This Row],[City]])))</f>
        <v>Mumbai</v>
      </c>
      <c r="G373" t="str">
        <f>PROPER(sales_dataset[[#This Row],[Region cleaned]])</f>
        <v>South</v>
      </c>
      <c r="H373" t="s">
        <v>129</v>
      </c>
      <c r="I373" t="str">
        <f>IF(TRIM(sales_dataset[[#This Row],[SalespersonName]])="",I376,PROPER(TRIM(sales_dataset[[#This Row],[SalespersonName]])))</f>
        <v>Kevin</v>
      </c>
      <c r="J373" s="1" t="s">
        <v>86</v>
      </c>
      <c r="K373" s="1" t="str">
        <f>PROPER(sales_dataset[[#This Row],[ProductCategory cleaned]])</f>
        <v>Clothing</v>
      </c>
      <c r="L373" s="1" t="str">
        <f>PROPER(sales_dataset[[#This Row],[ProductName]])</f>
        <v>Shirt</v>
      </c>
      <c r="M373">
        <f>ABS(sales_dataset!W:W)</f>
        <v>4</v>
      </c>
      <c r="N373">
        <f>ABS(sales_dataset[[#This Row],[Column4]])</f>
        <v>100</v>
      </c>
      <c r="O373">
        <f t="shared" si="5"/>
        <v>400</v>
      </c>
    </row>
    <row r="374" spans="1:15" x14ac:dyDescent="0.3">
      <c r="A374" s="1" t="s">
        <v>748</v>
      </c>
      <c r="B374" s="2">
        <v>45312</v>
      </c>
      <c r="C374" s="1" t="str">
        <f>IF(TRIM(sales_dataset[[#This Row],[SalesChannel]])="",sales_dataset!C375,PROPER(TRIM(sales_dataset[[#This Row],[SalesChannel]])))</f>
        <v>Online</v>
      </c>
      <c r="D374" s="1" t="s">
        <v>436</v>
      </c>
      <c r="E374" s="1" t="str">
        <f>IF(TRIM(sales_dataset[[#This Row],[CustomerName]])="",sales_dataset!F380, PROPER(TRIM(sales_dataset[[#This Row],[CustomerName]])))</f>
        <v>Sara</v>
      </c>
      <c r="F374" s="1" t="str">
        <f>IF(TRIM(sales_dataset[[#This Row],[City]])="", sales_dataset!$H$3, PROPER(TRIM(sales_dataset[[#This Row],[City]])))</f>
        <v>Hyderabad</v>
      </c>
      <c r="G374" t="str">
        <f>PROPER(sales_dataset[[#This Row],[Region cleaned]])</f>
        <v>North</v>
      </c>
      <c r="H374" t="s">
        <v>125</v>
      </c>
      <c r="I374" t="str">
        <f>IF(TRIM(sales_dataset[[#This Row],[SalespersonName]])="",I377,PROPER(TRIM(sales_dataset[[#This Row],[SalespersonName]])))</f>
        <v>Sam</v>
      </c>
      <c r="J374" s="1" t="s">
        <v>651</v>
      </c>
      <c r="K374" s="1" t="str">
        <f>PROPER(sales_dataset[[#This Row],[ProductCategory cleaned]])</f>
        <v>Home</v>
      </c>
      <c r="L374" s="1" t="str">
        <f>PROPER(sales_dataset[[#This Row],[ProductName]])</f>
        <v>Sofa</v>
      </c>
      <c r="M374">
        <f>ABS(sales_dataset!W:W)</f>
        <v>4</v>
      </c>
      <c r="N374">
        <f>ABS(sales_dataset[[#This Row],[Column4]])</f>
        <v>500</v>
      </c>
      <c r="O374">
        <f t="shared" si="5"/>
        <v>2000</v>
      </c>
    </row>
    <row r="375" spans="1:15" x14ac:dyDescent="0.3">
      <c r="A375" s="1" t="s">
        <v>749</v>
      </c>
      <c r="B375" s="2">
        <v>45475</v>
      </c>
      <c r="C375" s="1" t="str">
        <f>IF(TRIM(sales_dataset[[#This Row],[SalesChannel]])="",sales_dataset!C376,PROPER(TRIM(sales_dataset[[#This Row],[SalesChannel]])))</f>
        <v>Offline</v>
      </c>
      <c r="D375" s="1" t="s">
        <v>257</v>
      </c>
      <c r="E375" s="1" t="str">
        <f>IF(TRIM(sales_dataset[[#This Row],[CustomerName]])="",sales_dataset!F381, PROPER(TRIM(sales_dataset[[#This Row],[CustomerName]])))</f>
        <v>Sara</v>
      </c>
      <c r="F375" s="1" t="str">
        <f>IF(TRIM(sales_dataset[[#This Row],[City]])="", sales_dataset!$H$3, PROPER(TRIM(sales_dataset[[#This Row],[City]])))</f>
        <v>Mumbai</v>
      </c>
      <c r="G375" t="str">
        <f>PROPER(sales_dataset[[#This Row],[Region cleaned]])</f>
        <v>South</v>
      </c>
      <c r="H375" t="s">
        <v>227</v>
      </c>
      <c r="I375" t="str">
        <f>IF(TRIM(sales_dataset[[#This Row],[SalespersonName]])="",I378,PROPER(TRIM(sales_dataset[[#This Row],[SalespersonName]])))</f>
        <v>Anita</v>
      </c>
      <c r="J375" s="1" t="s">
        <v>86</v>
      </c>
      <c r="K375" s="1" t="str">
        <f>PROPER(sales_dataset[[#This Row],[ProductCategory cleaned]])</f>
        <v>Electronics</v>
      </c>
      <c r="L375" s="1" t="str">
        <f>PROPER(sales_dataset[[#This Row],[ProductName]])</f>
        <v>Shirt</v>
      </c>
      <c r="M375">
        <f>ABS(sales_dataset!W:W)</f>
        <v>4</v>
      </c>
      <c r="N375">
        <f>ABS(sales_dataset[[#This Row],[Column4]])</f>
        <v>2000</v>
      </c>
      <c r="O375">
        <f t="shared" si="5"/>
        <v>8000</v>
      </c>
    </row>
    <row r="376" spans="1:15" x14ac:dyDescent="0.3">
      <c r="A376" s="1" t="s">
        <v>750</v>
      </c>
      <c r="B376" s="2">
        <v>45399</v>
      </c>
      <c r="C376" s="1" t="str">
        <f>IF(TRIM(sales_dataset[[#This Row],[SalesChannel]])="",sales_dataset!C377,PROPER(TRIM(sales_dataset[[#This Row],[SalesChannel]])))</f>
        <v>Store</v>
      </c>
      <c r="D376" s="1" t="s">
        <v>257</v>
      </c>
      <c r="E376" s="1" t="str">
        <f>IF(TRIM(sales_dataset[[#This Row],[CustomerName]])="",sales_dataset!F382, PROPER(TRIM(sales_dataset[[#This Row],[CustomerName]])))</f>
        <v>Amit</v>
      </c>
      <c r="F376" s="1" t="str">
        <f>IF(TRIM(sales_dataset[[#This Row],[City]])="", sales_dataset!$H$3, PROPER(TRIM(sales_dataset[[#This Row],[City]])))</f>
        <v>Mumbai</v>
      </c>
      <c r="G376" t="str">
        <f>PROPER(sales_dataset[[#This Row],[Region cleaned]])</f>
        <v>South</v>
      </c>
      <c r="H376" t="s">
        <v>241</v>
      </c>
      <c r="I376" t="str">
        <f>IF(TRIM(sales_dataset[[#This Row],[SalespersonName]])="",I379,PROPER(TRIM(sales_dataset[[#This Row],[SalespersonName]])))</f>
        <v>Anita</v>
      </c>
      <c r="J376" s="1" t="s">
        <v>353</v>
      </c>
      <c r="K376" s="1" t="str">
        <f>PROPER(sales_dataset[[#This Row],[ProductCategory cleaned]])</f>
        <v>Electronics</v>
      </c>
      <c r="L376" s="1" t="str">
        <f>PROPER(sales_dataset[[#This Row],[ProductName]])</f>
        <v>Laptop</v>
      </c>
      <c r="M376">
        <f>ABS(sales_dataset!W:W)</f>
        <v>1</v>
      </c>
      <c r="N376">
        <f>ABS(sales_dataset[[#This Row],[Column4]])</f>
        <v>500</v>
      </c>
      <c r="O376">
        <f t="shared" si="5"/>
        <v>500</v>
      </c>
    </row>
    <row r="377" spans="1:15" x14ac:dyDescent="0.3">
      <c r="A377" s="1" t="s">
        <v>751</v>
      </c>
      <c r="B377" s="2">
        <v>45419</v>
      </c>
      <c r="C377" s="1" t="str">
        <f>IF(TRIM(sales_dataset[[#This Row],[SalesChannel]])="",sales_dataset!C378,PROPER(TRIM(sales_dataset[[#This Row],[SalesChannel]])))</f>
        <v>Store</v>
      </c>
      <c r="D377" s="1" t="s">
        <v>387</v>
      </c>
      <c r="E377" s="1" t="str">
        <f>IF(TRIM(sales_dataset[[#This Row],[CustomerName]])="",sales_dataset!F383, PROPER(TRIM(sales_dataset[[#This Row],[CustomerName]])))</f>
        <v>David</v>
      </c>
      <c r="F377" s="1" t="str">
        <f>IF(TRIM(sales_dataset[[#This Row],[City]])="", sales_dataset!$H$3, PROPER(TRIM(sales_dataset[[#This Row],[City]])))</f>
        <v>Hyderabad</v>
      </c>
      <c r="G377" t="str">
        <f>PROPER(sales_dataset[[#This Row],[Region cleaned]])</f>
        <v>South</v>
      </c>
      <c r="H377" t="s">
        <v>212</v>
      </c>
      <c r="I377" t="str">
        <f>IF(TRIM(sales_dataset[[#This Row],[SalespersonName]])="",I380,PROPER(TRIM(sales_dataset[[#This Row],[SalespersonName]])))</f>
        <v>Megha</v>
      </c>
      <c r="J377" s="1" t="s">
        <v>133</v>
      </c>
      <c r="K377" s="1" t="str">
        <f>PROPER(sales_dataset[[#This Row],[ProductCategory cleaned]])</f>
        <v>Clothing</v>
      </c>
      <c r="L377" s="1" t="str">
        <f>PROPER(sales_dataset[[#This Row],[ProductName]])</f>
        <v>Sofa</v>
      </c>
      <c r="M377">
        <f>ABS(sales_dataset!W:W)</f>
        <v>2</v>
      </c>
      <c r="N377">
        <f>ABS(sales_dataset[[#This Row],[Column4]])</f>
        <v>1500</v>
      </c>
      <c r="O377">
        <f t="shared" si="5"/>
        <v>3000</v>
      </c>
    </row>
    <row r="378" spans="1:15" x14ac:dyDescent="0.3">
      <c r="A378" s="1" t="s">
        <v>752</v>
      </c>
      <c r="B378" s="2">
        <v>45344</v>
      </c>
      <c r="C378" s="1" t="str">
        <f>IF(TRIM(sales_dataset[[#This Row],[SalesChannel]])="",sales_dataset!C379,PROPER(TRIM(sales_dataset[[#This Row],[SalesChannel]])))</f>
        <v>Online</v>
      </c>
      <c r="D378" s="1" t="s">
        <v>523</v>
      </c>
      <c r="E378" s="1" t="str">
        <f>IF(TRIM(sales_dataset[[#This Row],[CustomerName]])="",sales_dataset!F384, PROPER(TRIM(sales_dataset[[#This Row],[CustomerName]])))</f>
        <v>Priya</v>
      </c>
      <c r="F378" s="1" t="str">
        <f>IF(TRIM(sales_dataset[[#This Row],[City]])="", sales_dataset!$H$3, PROPER(TRIM(sales_dataset[[#This Row],[City]])))</f>
        <v>Bengaluru</v>
      </c>
      <c r="G378" t="str">
        <f>PROPER(sales_dataset[[#This Row],[Region cleaned]])</f>
        <v>West</v>
      </c>
      <c r="H378" t="s">
        <v>247</v>
      </c>
      <c r="I378" t="str">
        <f>IF(TRIM(sales_dataset[[#This Row],[SalespersonName]])="",I381,PROPER(TRIM(sales_dataset[[#This Row],[SalespersonName]])))</f>
        <v>Anita</v>
      </c>
      <c r="J378" s="1" t="s">
        <v>234</v>
      </c>
      <c r="K378" s="1" t="str">
        <f>PROPER(sales_dataset[[#This Row],[ProductCategory cleaned]])</f>
        <v>Home</v>
      </c>
      <c r="L378" s="1" t="str">
        <f>PROPER(sales_dataset[[#This Row],[ProductName]])</f>
        <v>Shirt</v>
      </c>
      <c r="M378">
        <f>ABS(sales_dataset!W:W)</f>
        <v>1</v>
      </c>
      <c r="N378">
        <f>ABS(sales_dataset[[#This Row],[Column4]])</f>
        <v>100</v>
      </c>
      <c r="O378">
        <f t="shared" si="5"/>
        <v>100</v>
      </c>
    </row>
    <row r="379" spans="1:15" x14ac:dyDescent="0.3">
      <c r="A379" s="1" t="s">
        <v>753</v>
      </c>
      <c r="B379" s="2">
        <v>45473</v>
      </c>
      <c r="C379" s="1" t="str">
        <f>IF(TRIM(sales_dataset[[#This Row],[SalesChannel]])="",sales_dataset!C380,PROPER(TRIM(sales_dataset[[#This Row],[SalesChannel]])))</f>
        <v>Online</v>
      </c>
      <c r="D379" s="1" t="s">
        <v>393</v>
      </c>
      <c r="E379" s="1" t="str">
        <f>IF(TRIM(sales_dataset[[#This Row],[CustomerName]])="",sales_dataset!F385, PROPER(TRIM(sales_dataset[[#This Row],[CustomerName]])))</f>
        <v>Amit</v>
      </c>
      <c r="F379" s="1" t="str">
        <f>IF(TRIM(sales_dataset[[#This Row],[City]])="", sales_dataset!$H$3, PROPER(TRIM(sales_dataset[[#This Row],[City]])))</f>
        <v>Delhi</v>
      </c>
      <c r="G379" t="str">
        <f>PROPER(sales_dataset[[#This Row],[Region cleaned]])</f>
        <v>North</v>
      </c>
      <c r="H379" t="s">
        <v>413</v>
      </c>
      <c r="I379" t="str">
        <f>IF(TRIM(sales_dataset[[#This Row],[SalespersonName]])="",I382,PROPER(TRIM(sales_dataset[[#This Row],[SalespersonName]])))</f>
        <v>Sam</v>
      </c>
      <c r="J379" s="1" t="s">
        <v>206</v>
      </c>
      <c r="K379" s="1" t="str">
        <f>PROPER(sales_dataset[[#This Row],[ProductCategory cleaned]])</f>
        <v>Electronics</v>
      </c>
      <c r="L379" s="1" t="str">
        <f>PROPER(sales_dataset[[#This Row],[ProductName]])</f>
        <v>Shirt</v>
      </c>
      <c r="M379">
        <f>ABS(sales_dataset!W:W)</f>
        <v>4</v>
      </c>
      <c r="N379">
        <f>ABS(sales_dataset[[#This Row],[Column4]])</f>
        <v>2000</v>
      </c>
      <c r="O379">
        <f t="shared" si="5"/>
        <v>8000</v>
      </c>
    </row>
    <row r="380" spans="1:15" x14ac:dyDescent="0.3">
      <c r="A380" s="1" t="s">
        <v>754</v>
      </c>
      <c r="B380" s="2">
        <v>45578</v>
      </c>
      <c r="C380" s="1" t="str">
        <f>IF(TRIM(sales_dataset[[#This Row],[SalesChannel]])="",sales_dataset!C381,PROPER(TRIM(sales_dataset[[#This Row],[SalesChannel]])))</f>
        <v>Online</v>
      </c>
      <c r="D380" s="1" t="s">
        <v>110</v>
      </c>
      <c r="E380" s="1" t="str">
        <f>IF(TRIM(sales_dataset[[#This Row],[CustomerName]])="",sales_dataset!F386, PROPER(TRIM(sales_dataset[[#This Row],[CustomerName]])))</f>
        <v>Sara</v>
      </c>
      <c r="F380" s="1" t="str">
        <f>IF(TRIM(sales_dataset[[#This Row],[City]])="", sales_dataset!$H$3, PROPER(TRIM(sales_dataset[[#This Row],[City]])))</f>
        <v>Mumbai</v>
      </c>
      <c r="G380" t="str">
        <f>PROPER(sales_dataset[[#This Row],[Region cleaned]])</f>
        <v>East</v>
      </c>
      <c r="H380" t="s">
        <v>47</v>
      </c>
      <c r="I380" t="str">
        <f>IF(TRIM(sales_dataset[[#This Row],[SalespersonName]])="",I383,PROPER(TRIM(sales_dataset[[#This Row],[SalespersonName]])))</f>
        <v>Sam</v>
      </c>
      <c r="J380" s="1" t="s">
        <v>238</v>
      </c>
      <c r="K380" s="1" t="str">
        <f>PROPER(sales_dataset[[#This Row],[ProductCategory cleaned]])</f>
        <v>Home</v>
      </c>
      <c r="L380" s="1" t="str">
        <f>PROPER(sales_dataset[[#This Row],[ProductName]])</f>
        <v>Watch</v>
      </c>
      <c r="M380">
        <f>ABS(sales_dataset!W:W)</f>
        <v>4</v>
      </c>
      <c r="N380">
        <f>ABS(sales_dataset[[#This Row],[Column4]])</f>
        <v>2500</v>
      </c>
      <c r="O380">
        <f t="shared" si="5"/>
        <v>10000</v>
      </c>
    </row>
    <row r="381" spans="1:15" x14ac:dyDescent="0.3">
      <c r="A381" s="1" t="s">
        <v>755</v>
      </c>
      <c r="B381" s="2">
        <v>45500</v>
      </c>
      <c r="C381" s="1" t="str">
        <f>IF(TRIM(sales_dataset[[#This Row],[SalesChannel]])="",sales_dataset!C382,PROPER(TRIM(sales_dataset[[#This Row],[SalesChannel]])))</f>
        <v>Offline</v>
      </c>
      <c r="D381" s="1" t="s">
        <v>529</v>
      </c>
      <c r="E381" s="1" t="str">
        <f>IF(TRIM(sales_dataset[[#This Row],[CustomerName]])="",sales_dataset!F387, PROPER(TRIM(sales_dataset[[#This Row],[CustomerName]])))</f>
        <v>Sara</v>
      </c>
      <c r="F381" s="1" t="str">
        <f>IF(TRIM(sales_dataset[[#This Row],[City]])="", sales_dataset!$H$3, PROPER(TRIM(sales_dataset[[#This Row],[City]])))</f>
        <v>Bengaluru</v>
      </c>
      <c r="G381" t="str">
        <f>PROPER(sales_dataset[[#This Row],[Region cleaned]])</f>
        <v>North</v>
      </c>
      <c r="H381" t="s">
        <v>93</v>
      </c>
      <c r="I381" t="str">
        <f>IF(TRIM(sales_dataset[[#This Row],[SalespersonName]])="",I384,PROPER(TRIM(sales_dataset[[#This Row],[SalespersonName]])))</f>
        <v>Anita</v>
      </c>
      <c r="J381" s="1" t="s">
        <v>115</v>
      </c>
      <c r="K381" s="1" t="str">
        <f>PROPER(sales_dataset[[#This Row],[ProductCategory cleaned]])</f>
        <v>Clothing</v>
      </c>
      <c r="L381" s="1" t="str">
        <f>PROPER(sales_dataset[[#This Row],[ProductName]])</f>
        <v/>
      </c>
      <c r="M381">
        <f>ABS(sales_dataset!W:W)</f>
        <v>1</v>
      </c>
      <c r="N381">
        <f>ABS(sales_dataset[[#This Row],[Column4]])</f>
        <v>2000</v>
      </c>
      <c r="O381">
        <f t="shared" si="5"/>
        <v>2000</v>
      </c>
    </row>
    <row r="382" spans="1:15" x14ac:dyDescent="0.3">
      <c r="A382" s="1" t="s">
        <v>756</v>
      </c>
      <c r="B382" s="2">
        <v>45371</v>
      </c>
      <c r="C382" s="1" t="str">
        <f>IF(TRIM(sales_dataset[[#This Row],[SalesChannel]])="",sales_dataset!C383,PROPER(TRIM(sales_dataset[[#This Row],[SalesChannel]])))</f>
        <v>Store</v>
      </c>
      <c r="D382" s="1" t="s">
        <v>106</v>
      </c>
      <c r="E382" s="1" t="str">
        <f>IF(TRIM(sales_dataset[[#This Row],[CustomerName]])="",sales_dataset!F388, PROPER(TRIM(sales_dataset[[#This Row],[CustomerName]])))</f>
        <v>Amit</v>
      </c>
      <c r="F382" s="1" t="str">
        <f>IF(TRIM(sales_dataset[[#This Row],[City]])="", sales_dataset!$H$3, PROPER(TRIM(sales_dataset[[#This Row],[City]])))</f>
        <v>Delhi</v>
      </c>
      <c r="G382" t="str">
        <f>PROPER(sales_dataset[[#This Row],[Region cleaned]])</f>
        <v>North</v>
      </c>
      <c r="H382" t="s">
        <v>501</v>
      </c>
      <c r="I382" t="str">
        <f>IF(TRIM(sales_dataset[[#This Row],[SalespersonName]])="",I385,PROPER(TRIM(sales_dataset[[#This Row],[SalespersonName]])))</f>
        <v>Raj</v>
      </c>
      <c r="J382" s="1" t="s">
        <v>187</v>
      </c>
      <c r="K382" s="1" t="str">
        <f>PROPER(sales_dataset[[#This Row],[ProductCategory cleaned]])</f>
        <v>Clothing</v>
      </c>
      <c r="L382" s="1" t="str">
        <f>PROPER(sales_dataset[[#This Row],[ProductName]])</f>
        <v>Watch</v>
      </c>
      <c r="M382">
        <f>ABS(sales_dataset!W:W)</f>
        <v>5</v>
      </c>
      <c r="N382">
        <f>ABS(sales_dataset[[#This Row],[Column4]])</f>
        <v>2000</v>
      </c>
      <c r="O382">
        <f t="shared" si="5"/>
        <v>10000</v>
      </c>
    </row>
    <row r="383" spans="1:15" x14ac:dyDescent="0.3">
      <c r="A383" s="1" t="s">
        <v>757</v>
      </c>
      <c r="B383" s="2">
        <v>45413</v>
      </c>
      <c r="C383" s="1" t="str">
        <f>IF(TRIM(sales_dataset[[#This Row],[SalesChannel]])="",sales_dataset!C384,PROPER(TRIM(sales_dataset[[#This Row],[SalesChannel]])))</f>
        <v>Store</v>
      </c>
      <c r="D383" s="1" t="s">
        <v>313</v>
      </c>
      <c r="E383" s="1" t="str">
        <f>IF(TRIM(sales_dataset[[#This Row],[CustomerName]])="",sales_dataset!F389, PROPER(TRIM(sales_dataset[[#This Row],[CustomerName]])))</f>
        <v>Priya</v>
      </c>
      <c r="F383" s="1" t="str">
        <f>IF(TRIM(sales_dataset[[#This Row],[City]])="", sales_dataset!$H$3, PROPER(TRIM(sales_dataset[[#This Row],[City]])))</f>
        <v>Chennai</v>
      </c>
      <c r="G383" t="str">
        <f>PROPER(sales_dataset[[#This Row],[Region cleaned]])</f>
        <v>East</v>
      </c>
      <c r="H383" t="s">
        <v>61</v>
      </c>
      <c r="I383" t="str">
        <f>IF(TRIM(sales_dataset[[#This Row],[SalespersonName]])="",I386,PROPER(TRIM(sales_dataset[[#This Row],[SalespersonName]])))</f>
        <v>Sam</v>
      </c>
      <c r="J383" s="1" t="s">
        <v>311</v>
      </c>
      <c r="K383" s="1" t="str">
        <f>PROPER(sales_dataset[[#This Row],[ProductCategory cleaned]])</f>
        <v>Clothing</v>
      </c>
      <c r="L383" s="1" t="str">
        <f>PROPER(sales_dataset[[#This Row],[ProductName]])</f>
        <v>Sofa</v>
      </c>
      <c r="M383">
        <f>ABS(sales_dataset!W:W)</f>
        <v>4</v>
      </c>
      <c r="N383">
        <f>ABS(sales_dataset[[#This Row],[Column4]])</f>
        <v>1500</v>
      </c>
      <c r="O383">
        <f t="shared" si="5"/>
        <v>6000</v>
      </c>
    </row>
    <row r="384" spans="1:15" x14ac:dyDescent="0.3">
      <c r="A384" s="1" t="s">
        <v>758</v>
      </c>
      <c r="B384" s="2">
        <v>45375</v>
      </c>
      <c r="C384" s="1" t="str">
        <f>IF(TRIM(sales_dataset[[#This Row],[SalesChannel]])="",sales_dataset!C385,PROPER(TRIM(sales_dataset[[#This Row],[SalesChannel]])))</f>
        <v>Online</v>
      </c>
      <c r="D384" s="1" t="s">
        <v>278</v>
      </c>
      <c r="E384" s="1" t="str">
        <f>IF(TRIM(sales_dataset[[#This Row],[CustomerName]])="",sales_dataset!F390, PROPER(TRIM(sales_dataset[[#This Row],[CustomerName]])))</f>
        <v>David</v>
      </c>
      <c r="F384" s="1" t="str">
        <f>IF(TRIM(sales_dataset[[#This Row],[City]])="", sales_dataset!$H$3, PROPER(TRIM(sales_dataset[[#This Row],[City]])))</f>
        <v>Mumbai</v>
      </c>
      <c r="G384" t="str">
        <f>PROPER(sales_dataset[[#This Row],[Region cleaned]])</f>
        <v>West</v>
      </c>
      <c r="H384" t="s">
        <v>55</v>
      </c>
      <c r="I384" t="str">
        <f>IF(TRIM(sales_dataset[[#This Row],[SalespersonName]])="",I387,PROPER(TRIM(sales_dataset[[#This Row],[SalespersonName]])))</f>
        <v>Kevin</v>
      </c>
      <c r="J384" s="1" t="s">
        <v>452</v>
      </c>
      <c r="K384" s="1" t="str">
        <f>PROPER(sales_dataset[[#This Row],[ProductCategory cleaned]])</f>
        <v>Electronics</v>
      </c>
      <c r="L384" s="1" t="str">
        <f>PROPER(sales_dataset[[#This Row],[ProductName]])</f>
        <v>Watch</v>
      </c>
      <c r="M384">
        <f>ABS(sales_dataset!W:W)</f>
        <v>1</v>
      </c>
      <c r="N384">
        <f>ABS(sales_dataset[[#This Row],[Column4]])</f>
        <v>100</v>
      </c>
      <c r="O384">
        <f t="shared" si="5"/>
        <v>100</v>
      </c>
    </row>
    <row r="385" spans="1:15" x14ac:dyDescent="0.3">
      <c r="A385" s="1" t="s">
        <v>759</v>
      </c>
      <c r="B385" s="2">
        <v>45382</v>
      </c>
      <c r="C385" s="1" t="str">
        <f>IF(TRIM(sales_dataset[[#This Row],[SalesChannel]])="",sales_dataset!C386,PROPER(TRIM(sales_dataset[[#This Row],[SalesChannel]])))</f>
        <v>Online</v>
      </c>
      <c r="D385" s="1" t="s">
        <v>483</v>
      </c>
      <c r="E385" s="1" t="str">
        <f>IF(TRIM(sales_dataset[[#This Row],[CustomerName]])="",sales_dataset!F391, PROPER(TRIM(sales_dataset[[#This Row],[CustomerName]])))</f>
        <v>Amit</v>
      </c>
      <c r="F385" s="1" t="str">
        <f>IF(TRIM(sales_dataset[[#This Row],[City]])="", sales_dataset!$H$3, PROPER(TRIM(sales_dataset[[#This Row],[City]])))</f>
        <v>Chennai</v>
      </c>
      <c r="G385" t="str">
        <f>PROPER(sales_dataset[[#This Row],[Region cleaned]])</f>
        <v>North</v>
      </c>
      <c r="H385" t="s">
        <v>162</v>
      </c>
      <c r="I385" t="str">
        <f>IF(TRIM(sales_dataset[[#This Row],[SalespersonName]])="",I388,PROPER(TRIM(sales_dataset[[#This Row],[SalespersonName]])))</f>
        <v>Megha</v>
      </c>
      <c r="J385" s="1" t="s">
        <v>159</v>
      </c>
      <c r="K385" s="1" t="str">
        <f>PROPER(sales_dataset[[#This Row],[ProductCategory cleaned]])</f>
        <v>Home</v>
      </c>
      <c r="L385" s="1" t="str">
        <f>PROPER(sales_dataset[[#This Row],[ProductName]])</f>
        <v>Tv</v>
      </c>
      <c r="M385">
        <f>ABS(sales_dataset!W:W)</f>
        <v>1</v>
      </c>
      <c r="N385">
        <f>ABS(sales_dataset[[#This Row],[Column4]])</f>
        <v>100</v>
      </c>
      <c r="O385">
        <f t="shared" si="5"/>
        <v>100</v>
      </c>
    </row>
    <row r="386" spans="1:15" x14ac:dyDescent="0.3">
      <c r="A386" s="1" t="s">
        <v>760</v>
      </c>
      <c r="B386" s="2">
        <v>45503</v>
      </c>
      <c r="C386" s="1" t="str">
        <f>IF(TRIM(sales_dataset[[#This Row],[SalesChannel]])="",sales_dataset!C387,PROPER(TRIM(sales_dataset[[#This Row],[SalesChannel]])))</f>
        <v>Online</v>
      </c>
      <c r="D386" s="1" t="s">
        <v>139</v>
      </c>
      <c r="E386" s="1" t="str">
        <f>IF(TRIM(sales_dataset[[#This Row],[CustomerName]])="",sales_dataset!F392, PROPER(TRIM(sales_dataset[[#This Row],[CustomerName]])))</f>
        <v>Sara</v>
      </c>
      <c r="F386" s="1" t="str">
        <f>IF(TRIM(sales_dataset[[#This Row],[City]])="", sales_dataset!$H$3, PROPER(TRIM(sales_dataset[[#This Row],[City]])))</f>
        <v>Chennai</v>
      </c>
      <c r="G386" t="str">
        <f>PROPER(sales_dataset[[#This Row],[Region cleaned]])</f>
        <v>South</v>
      </c>
      <c r="H386" t="s">
        <v>119</v>
      </c>
      <c r="I386" t="str">
        <f>IF(TRIM(sales_dataset[[#This Row],[SalespersonName]])="",I389,PROPER(TRIM(sales_dataset[[#This Row],[SalespersonName]])))</f>
        <v>Kevin</v>
      </c>
      <c r="J386" s="1" t="s">
        <v>452</v>
      </c>
      <c r="K386" s="1" t="str">
        <f>PROPER(sales_dataset[[#This Row],[ProductCategory cleaned]])</f>
        <v>Home</v>
      </c>
      <c r="L386" s="1" t="str">
        <f>PROPER(sales_dataset[[#This Row],[ProductName]])</f>
        <v>Tv</v>
      </c>
      <c r="M386">
        <f>ABS(sales_dataset!W:W)</f>
        <v>4</v>
      </c>
      <c r="N386">
        <f>ABS(sales_dataset[[#This Row],[Column4]])</f>
        <v>1500</v>
      </c>
      <c r="O386">
        <f t="shared" si="5"/>
        <v>6000</v>
      </c>
    </row>
    <row r="387" spans="1:15" x14ac:dyDescent="0.3">
      <c r="A387" s="1" t="s">
        <v>761</v>
      </c>
      <c r="B387" s="2">
        <v>45304</v>
      </c>
      <c r="C387" s="1" t="str">
        <f>IF(TRIM(sales_dataset[[#This Row],[SalesChannel]])="",sales_dataset!C388,PROPER(TRIM(sales_dataset[[#This Row],[SalesChannel]])))</f>
        <v>Offline</v>
      </c>
      <c r="D387" s="1" t="s">
        <v>762</v>
      </c>
      <c r="E387" s="1" t="str">
        <f>IF(TRIM(sales_dataset[[#This Row],[CustomerName]])="",sales_dataset!F393, PROPER(TRIM(sales_dataset[[#This Row],[CustomerName]])))</f>
        <v>Priya</v>
      </c>
      <c r="F387" s="1" t="str">
        <f>IF(TRIM(sales_dataset[[#This Row],[City]])="", sales_dataset!$H$3, PROPER(TRIM(sales_dataset[[#This Row],[City]])))</f>
        <v>Mumbai</v>
      </c>
      <c r="G387" t="str">
        <f>PROPER(sales_dataset[[#This Row],[Region cleaned]])</f>
        <v>North</v>
      </c>
      <c r="H387" t="s">
        <v>177</v>
      </c>
      <c r="I387" t="str">
        <f>IF(TRIM(sales_dataset[[#This Row],[SalespersonName]])="",I390,PROPER(TRIM(sales_dataset[[#This Row],[SalespersonName]])))</f>
        <v>Raj</v>
      </c>
      <c r="J387" s="1" t="s">
        <v>126</v>
      </c>
      <c r="K387" s="1" t="str">
        <f>PROPER(sales_dataset[[#This Row],[ProductCategory cleaned]])</f>
        <v>Clothing</v>
      </c>
      <c r="L387" s="1" t="str">
        <f>PROPER(sales_dataset[[#This Row],[ProductName]])</f>
        <v>Watch</v>
      </c>
      <c r="M387">
        <f>ABS(sales_dataset!W:W)</f>
        <v>4</v>
      </c>
      <c r="N387">
        <f>ABS(sales_dataset[[#This Row],[Column4]])</f>
        <v>500</v>
      </c>
      <c r="O387">
        <f t="shared" ref="O387:O450" si="6">M387*N387</f>
        <v>2000</v>
      </c>
    </row>
    <row r="388" spans="1:15" x14ac:dyDescent="0.3">
      <c r="A388" s="1" t="s">
        <v>763</v>
      </c>
      <c r="B388" s="2">
        <v>45383</v>
      </c>
      <c r="C388" s="1" t="str">
        <f>IF(TRIM(sales_dataset[[#This Row],[SalesChannel]])="",sales_dataset!C389,PROPER(TRIM(sales_dataset[[#This Row],[SalesChannel]])))</f>
        <v>Store</v>
      </c>
      <c r="D388" s="1" t="s">
        <v>440</v>
      </c>
      <c r="E388" s="1" t="str">
        <f>IF(TRIM(sales_dataset[[#This Row],[CustomerName]])="",sales_dataset!F394, PROPER(TRIM(sales_dataset[[#This Row],[CustomerName]])))</f>
        <v>Priya</v>
      </c>
      <c r="F388" s="1" t="str">
        <f>IF(TRIM(sales_dataset[[#This Row],[City]])="", sales_dataset!$H$3, PROPER(TRIM(sales_dataset[[#This Row],[City]])))</f>
        <v>Bengaluru</v>
      </c>
      <c r="G388" t="str">
        <f>PROPER(sales_dataset[[#This Row],[Region cleaned]])</f>
        <v>North</v>
      </c>
      <c r="H388" t="s">
        <v>215</v>
      </c>
      <c r="I388" t="str">
        <f>IF(TRIM(sales_dataset[[#This Row],[SalespersonName]])="",I391,PROPER(TRIM(sales_dataset[[#This Row],[SalespersonName]])))</f>
        <v>Raj</v>
      </c>
      <c r="J388" s="1" t="s">
        <v>624</v>
      </c>
      <c r="K388" s="1" t="str">
        <f>PROPER(sales_dataset[[#This Row],[ProductCategory cleaned]])</f>
        <v>Electronics</v>
      </c>
      <c r="L388" s="1" t="str">
        <f>PROPER(sales_dataset[[#This Row],[ProductName]])</f>
        <v>Shirt</v>
      </c>
      <c r="M388">
        <f>ABS(sales_dataset!W:W)</f>
        <v>3</v>
      </c>
      <c r="N388">
        <f>ABS(sales_dataset[[#This Row],[Column4]])</f>
        <v>2000</v>
      </c>
      <c r="O388">
        <f t="shared" si="6"/>
        <v>6000</v>
      </c>
    </row>
    <row r="389" spans="1:15" x14ac:dyDescent="0.3">
      <c r="A389" s="1" t="s">
        <v>764</v>
      </c>
      <c r="B389" s="2">
        <v>45462</v>
      </c>
      <c r="C389" s="1" t="str">
        <f>IF(TRIM(sales_dataset[[#This Row],[SalesChannel]])="",sales_dataset!C390,PROPER(TRIM(sales_dataset[[#This Row],[SalesChannel]])))</f>
        <v>Store</v>
      </c>
      <c r="D389" s="1" t="s">
        <v>575</v>
      </c>
      <c r="E389" s="1" t="str">
        <f>IF(TRIM(sales_dataset[[#This Row],[CustomerName]])="",sales_dataset!F395, PROPER(TRIM(sales_dataset[[#This Row],[CustomerName]])))</f>
        <v>Priya</v>
      </c>
      <c r="F389" s="1" t="str">
        <f>IF(TRIM(sales_dataset[[#This Row],[City]])="", sales_dataset!$H$3, PROPER(TRIM(sales_dataset[[#This Row],[City]])))</f>
        <v>Delhi</v>
      </c>
      <c r="G389" t="str">
        <f>PROPER(sales_dataset[[#This Row],[Region cleaned]])</f>
        <v>North</v>
      </c>
      <c r="H389" t="s">
        <v>152</v>
      </c>
      <c r="I389" t="str">
        <f>IF(TRIM(sales_dataset[[#This Row],[SalespersonName]])="",I392,PROPER(TRIM(sales_dataset[[#This Row],[SalespersonName]])))</f>
        <v>Kevin</v>
      </c>
      <c r="J389" s="1" t="s">
        <v>467</v>
      </c>
      <c r="K389" s="1" t="str">
        <f>PROPER(sales_dataset[[#This Row],[ProductCategory cleaned]])</f>
        <v>Home</v>
      </c>
      <c r="L389" s="1" t="str">
        <f>PROPER(sales_dataset[[#This Row],[ProductName]])</f>
        <v/>
      </c>
      <c r="M389">
        <f>ABS(sales_dataset!W:W)</f>
        <v>1</v>
      </c>
      <c r="N389">
        <f>ABS(sales_dataset[[#This Row],[Column4]])</f>
        <v>1500</v>
      </c>
      <c r="O389">
        <f t="shared" si="6"/>
        <v>1500</v>
      </c>
    </row>
    <row r="390" spans="1:15" x14ac:dyDescent="0.3">
      <c r="A390" s="1" t="s">
        <v>765</v>
      </c>
      <c r="B390" s="2">
        <v>45502</v>
      </c>
      <c r="C390" s="1" t="str">
        <f>IF(TRIM(sales_dataset[[#This Row],[SalesChannel]])="",sales_dataset!C391,PROPER(TRIM(sales_dataset[[#This Row],[SalesChannel]])))</f>
        <v>Online</v>
      </c>
      <c r="D390" s="1" t="s">
        <v>208</v>
      </c>
      <c r="E390" s="1" t="str">
        <f>IF(TRIM(sales_dataset[[#This Row],[CustomerName]])="",sales_dataset!F396, PROPER(TRIM(sales_dataset[[#This Row],[CustomerName]])))</f>
        <v>Priya</v>
      </c>
      <c r="F390" s="1" t="str">
        <f>IF(TRIM(sales_dataset[[#This Row],[City]])="", sales_dataset!$H$3, PROPER(TRIM(sales_dataset[[#This Row],[City]])))</f>
        <v>Bengaluru</v>
      </c>
      <c r="G390" t="str">
        <f>PROPER(sales_dataset[[#This Row],[Region cleaned]])</f>
        <v>East</v>
      </c>
      <c r="H390" t="s">
        <v>343</v>
      </c>
      <c r="I390" t="str">
        <f>IF(TRIM(sales_dataset[[#This Row],[SalespersonName]])="",I393,PROPER(TRIM(sales_dataset[[#This Row],[SalespersonName]])))</f>
        <v>Megha</v>
      </c>
      <c r="J390" s="1" t="s">
        <v>556</v>
      </c>
      <c r="K390" s="1" t="str">
        <f>PROPER(sales_dataset[[#This Row],[ProductCategory cleaned]])</f>
        <v>Electronics</v>
      </c>
      <c r="L390" s="1" t="str">
        <f>PROPER(sales_dataset[[#This Row],[ProductName]])</f>
        <v/>
      </c>
      <c r="M390">
        <f>ABS(sales_dataset!W:W)</f>
        <v>4</v>
      </c>
      <c r="N390">
        <f>ABS(sales_dataset[[#This Row],[Column4]])</f>
        <v>500</v>
      </c>
      <c r="O390">
        <f t="shared" si="6"/>
        <v>2000</v>
      </c>
    </row>
    <row r="391" spans="1:15" x14ac:dyDescent="0.3">
      <c r="A391" s="1" t="s">
        <v>766</v>
      </c>
      <c r="B391" s="2">
        <v>45419</v>
      </c>
      <c r="C391" s="1" t="str">
        <f>IF(TRIM(sales_dataset[[#This Row],[SalesChannel]])="",sales_dataset!C392,PROPER(TRIM(sales_dataset[[#This Row],[SalesChannel]])))</f>
        <v>Online</v>
      </c>
      <c r="D391" s="1" t="s">
        <v>317</v>
      </c>
      <c r="E391" s="1" t="str">
        <f>IF(TRIM(sales_dataset[[#This Row],[CustomerName]])="",sales_dataset!F397, PROPER(TRIM(sales_dataset[[#This Row],[CustomerName]])))</f>
        <v>Priya</v>
      </c>
      <c r="F391" s="1" t="str">
        <f>IF(TRIM(sales_dataset[[#This Row],[City]])="", sales_dataset!$H$3, PROPER(TRIM(sales_dataset[[#This Row],[City]])))</f>
        <v>Hyderabad</v>
      </c>
      <c r="G391" t="str">
        <f>PROPER(sales_dataset[[#This Row],[Region cleaned]])</f>
        <v>West</v>
      </c>
      <c r="H391" t="s">
        <v>427</v>
      </c>
      <c r="I391" t="str">
        <f>IF(TRIM(sales_dataset[[#This Row],[SalespersonName]])="",I394,PROPER(TRIM(sales_dataset[[#This Row],[SalespersonName]])))</f>
        <v>Anita</v>
      </c>
      <c r="J391" s="1" t="s">
        <v>351</v>
      </c>
      <c r="K391" s="1" t="str">
        <f>PROPER(sales_dataset[[#This Row],[ProductCategory cleaned]])</f>
        <v>Electronics</v>
      </c>
      <c r="L391" s="1" t="str">
        <f>PROPER(sales_dataset[[#This Row],[ProductName]])</f>
        <v>Shirt</v>
      </c>
      <c r="M391">
        <f>ABS(sales_dataset!W:W)</f>
        <v>1</v>
      </c>
      <c r="N391">
        <f>ABS(sales_dataset[[#This Row],[Column4]])</f>
        <v>1500</v>
      </c>
      <c r="O391">
        <f t="shared" si="6"/>
        <v>1500</v>
      </c>
    </row>
    <row r="392" spans="1:15" x14ac:dyDescent="0.3">
      <c r="A392" s="1" t="s">
        <v>767</v>
      </c>
      <c r="B392" s="2">
        <v>45428</v>
      </c>
      <c r="C392" s="1" t="str">
        <f>IF(TRIM(sales_dataset[[#This Row],[SalesChannel]])="",sales_dataset!C393,PROPER(TRIM(sales_dataset[[#This Row],[SalesChannel]])))</f>
        <v>Online</v>
      </c>
      <c r="D392" s="1" t="s">
        <v>186</v>
      </c>
      <c r="E392" s="1" t="str">
        <f>IF(TRIM(sales_dataset[[#This Row],[CustomerName]])="",sales_dataset!F398, PROPER(TRIM(sales_dataset[[#This Row],[CustomerName]])))</f>
        <v>David</v>
      </c>
      <c r="F392" s="1" t="str">
        <f>IF(TRIM(sales_dataset[[#This Row],[City]])="", sales_dataset!$H$3, PROPER(TRIM(sales_dataset[[#This Row],[City]])))</f>
        <v>Mumbai</v>
      </c>
      <c r="G392" t="str">
        <f>PROPER(sales_dataset[[#This Row],[Region cleaned]])</f>
        <v>West</v>
      </c>
      <c r="H392" t="s">
        <v>162</v>
      </c>
      <c r="I392" t="str">
        <f>IF(TRIM(sales_dataset[[#This Row],[SalespersonName]])="",I395,PROPER(TRIM(sales_dataset[[#This Row],[SalespersonName]])))</f>
        <v>Kevin</v>
      </c>
      <c r="J392" s="1" t="s">
        <v>75</v>
      </c>
      <c r="K392" s="1" t="str">
        <f>PROPER(sales_dataset[[#This Row],[ProductCategory cleaned]])</f>
        <v>Clothing</v>
      </c>
      <c r="L392" s="1" t="str">
        <f>PROPER(sales_dataset[[#This Row],[ProductName]])</f>
        <v>Watch</v>
      </c>
      <c r="M392">
        <f>ABS(sales_dataset!W:W)</f>
        <v>5</v>
      </c>
      <c r="N392">
        <f>ABS(sales_dataset[[#This Row],[Column4]])</f>
        <v>2000</v>
      </c>
      <c r="O392">
        <f t="shared" si="6"/>
        <v>10000</v>
      </c>
    </row>
    <row r="393" spans="1:15" x14ac:dyDescent="0.3">
      <c r="A393" s="1" t="s">
        <v>768</v>
      </c>
      <c r="B393" s="2">
        <v>45373</v>
      </c>
      <c r="C393" s="1" t="str">
        <f>IF(TRIM(sales_dataset[[#This Row],[SalesChannel]])="",sales_dataset!C394,PROPER(TRIM(sales_dataset[[#This Row],[SalesChannel]])))</f>
        <v>Offline</v>
      </c>
      <c r="D393" s="1" t="s">
        <v>151</v>
      </c>
      <c r="E393" s="1" t="str">
        <f>IF(TRIM(sales_dataset[[#This Row],[CustomerName]])="",sales_dataset!F399, PROPER(TRIM(sales_dataset[[#This Row],[CustomerName]])))</f>
        <v>Sara</v>
      </c>
      <c r="F393" s="1" t="str">
        <f>IF(TRIM(sales_dataset[[#This Row],[City]])="", sales_dataset!$H$3, PROPER(TRIM(sales_dataset[[#This Row],[City]])))</f>
        <v>Bengaluru</v>
      </c>
      <c r="G393" t="str">
        <f>PROPER(sales_dataset[[#This Row],[Region cleaned]])</f>
        <v>North</v>
      </c>
      <c r="H393" t="s">
        <v>413</v>
      </c>
      <c r="I393" t="str">
        <f>IF(TRIM(sales_dataset[[#This Row],[SalespersonName]])="",I396,PROPER(TRIM(sales_dataset[[#This Row],[SalespersonName]])))</f>
        <v>Anita</v>
      </c>
      <c r="J393" s="1" t="s">
        <v>303</v>
      </c>
      <c r="K393" s="1" t="str">
        <f>PROPER(sales_dataset[[#This Row],[ProductCategory cleaned]])</f>
        <v>Electronics</v>
      </c>
      <c r="L393" s="1" t="str">
        <f>PROPER(sales_dataset[[#This Row],[ProductName]])</f>
        <v>Shirt</v>
      </c>
      <c r="M393">
        <f>ABS(sales_dataset!W:W)</f>
        <v>1</v>
      </c>
      <c r="N393">
        <f>ABS(sales_dataset[[#This Row],[Column4]])</f>
        <v>2500</v>
      </c>
      <c r="O393">
        <f t="shared" si="6"/>
        <v>2500</v>
      </c>
    </row>
    <row r="394" spans="1:15" x14ac:dyDescent="0.3">
      <c r="A394" s="1" t="s">
        <v>769</v>
      </c>
      <c r="B394" s="2">
        <v>45347</v>
      </c>
      <c r="C394" s="1" t="str">
        <f>IF(TRIM(sales_dataset[[#This Row],[SalesChannel]])="",sales_dataset!C395,PROPER(TRIM(sales_dataset[[#This Row],[SalesChannel]])))</f>
        <v>Store</v>
      </c>
      <c r="D394" s="1" t="s">
        <v>325</v>
      </c>
      <c r="E394" s="1" t="str">
        <f>IF(TRIM(sales_dataset[[#This Row],[CustomerName]])="",sales_dataset!F400, PROPER(TRIM(sales_dataset[[#This Row],[CustomerName]])))</f>
        <v>Sara</v>
      </c>
      <c r="F394" s="1" t="str">
        <f>IF(TRIM(sales_dataset[[#This Row],[City]])="", sales_dataset!$H$3, PROPER(TRIM(sales_dataset[[#This Row],[City]])))</f>
        <v>Hyderabad</v>
      </c>
      <c r="G394" t="str">
        <f>PROPER(sales_dataset[[#This Row],[Region cleaned]])</f>
        <v>West</v>
      </c>
      <c r="H394" t="s">
        <v>61</v>
      </c>
      <c r="I394" t="str">
        <f>IF(TRIM(sales_dataset[[#This Row],[SalespersonName]])="",I397,PROPER(TRIM(sales_dataset[[#This Row],[SalespersonName]])))</f>
        <v>Megha</v>
      </c>
      <c r="J394" s="1" t="s">
        <v>705</v>
      </c>
      <c r="K394" s="1" t="str">
        <f>PROPER(sales_dataset[[#This Row],[ProductCategory cleaned]])</f>
        <v>Clothing</v>
      </c>
      <c r="L394" s="1" t="str">
        <f>PROPER(sales_dataset[[#This Row],[ProductName]])</f>
        <v>Watch</v>
      </c>
      <c r="M394">
        <f>ABS(sales_dataset!W:W)</f>
        <v>1</v>
      </c>
      <c r="N394">
        <f>ABS(sales_dataset[[#This Row],[Column4]])</f>
        <v>2500</v>
      </c>
      <c r="O394">
        <f t="shared" si="6"/>
        <v>2500</v>
      </c>
    </row>
    <row r="395" spans="1:15" x14ac:dyDescent="0.3">
      <c r="A395" s="1" t="s">
        <v>770</v>
      </c>
      <c r="B395" s="2">
        <v>45487</v>
      </c>
      <c r="C395" s="1" t="str">
        <f>IF(TRIM(sales_dataset[[#This Row],[SalesChannel]])="",sales_dataset!C396,PROPER(TRIM(sales_dataset[[#This Row],[SalesChannel]])))</f>
        <v>Store</v>
      </c>
      <c r="D395" s="1" t="s">
        <v>691</v>
      </c>
      <c r="E395" s="1" t="str">
        <f>IF(TRIM(sales_dataset[[#This Row],[CustomerName]])="",sales_dataset!F401, PROPER(TRIM(sales_dataset[[#This Row],[CustomerName]])))</f>
        <v>Priya</v>
      </c>
      <c r="F395" s="1" t="str">
        <f>IF(TRIM(sales_dataset[[#This Row],[City]])="", sales_dataset!$H$3, PROPER(TRIM(sales_dataset[[#This Row],[City]])))</f>
        <v>Mumbai</v>
      </c>
      <c r="G395" t="str">
        <f>PROPER(sales_dataset[[#This Row],[Region cleaned]])</f>
        <v>North</v>
      </c>
      <c r="H395" t="s">
        <v>416</v>
      </c>
      <c r="I395" t="str">
        <f>IF(TRIM(sales_dataset[[#This Row],[SalespersonName]])="",I398,PROPER(TRIM(sales_dataset[[#This Row],[SalespersonName]])))</f>
        <v>Kevin</v>
      </c>
      <c r="J395" s="1" t="s">
        <v>22</v>
      </c>
      <c r="K395" s="1" t="str">
        <f>PROPER(sales_dataset[[#This Row],[ProductCategory cleaned]])</f>
        <v>Electronics</v>
      </c>
      <c r="L395" s="1" t="str">
        <f>PROPER(sales_dataset[[#This Row],[ProductName]])</f>
        <v>Watch</v>
      </c>
      <c r="M395">
        <f>ABS(sales_dataset!W:W)</f>
        <v>4</v>
      </c>
      <c r="N395">
        <f>ABS(sales_dataset[[#This Row],[Column4]])</f>
        <v>2000</v>
      </c>
      <c r="O395">
        <f t="shared" si="6"/>
        <v>8000</v>
      </c>
    </row>
    <row r="396" spans="1:15" x14ac:dyDescent="0.3">
      <c r="A396" s="1" t="s">
        <v>771</v>
      </c>
      <c r="B396" s="2">
        <v>45311</v>
      </c>
      <c r="C396" s="1" t="str">
        <f>IF(TRIM(sales_dataset[[#This Row],[SalesChannel]])="",sales_dataset!C397,PROPER(TRIM(sales_dataset[[#This Row],[SalesChannel]])))</f>
        <v>Online</v>
      </c>
      <c r="D396" s="1" t="s">
        <v>165</v>
      </c>
      <c r="E396" s="1" t="str">
        <f>IF(TRIM(sales_dataset[[#This Row],[CustomerName]])="",sales_dataset!F402, PROPER(TRIM(sales_dataset[[#This Row],[CustomerName]])))</f>
        <v>Priya</v>
      </c>
      <c r="F396" s="1" t="str">
        <f>IF(TRIM(sales_dataset[[#This Row],[City]])="", sales_dataset!$H$3, PROPER(TRIM(sales_dataset[[#This Row],[City]])))</f>
        <v>Bengaluru</v>
      </c>
      <c r="G396" t="str">
        <f>PROPER(sales_dataset[[#This Row],[Region cleaned]])</f>
        <v>West</v>
      </c>
      <c r="H396" t="s">
        <v>99</v>
      </c>
      <c r="I396" t="str">
        <f>IF(TRIM(sales_dataset[[#This Row],[SalespersonName]])="",I399,PROPER(TRIM(sales_dataset[[#This Row],[SalespersonName]])))</f>
        <v>Anita</v>
      </c>
      <c r="J396" s="1" t="s">
        <v>477</v>
      </c>
      <c r="K396" s="1" t="str">
        <f>PROPER(sales_dataset[[#This Row],[ProductCategory cleaned]])</f>
        <v>Home</v>
      </c>
      <c r="L396" s="1" t="str">
        <f>PROPER(sales_dataset[[#This Row],[ProductName]])</f>
        <v>Shirt</v>
      </c>
      <c r="M396">
        <f>ABS(sales_dataset!W:W)</f>
        <v>4</v>
      </c>
      <c r="N396">
        <f>ABS(sales_dataset[[#This Row],[Column4]])</f>
        <v>2000</v>
      </c>
      <c r="O396">
        <f t="shared" si="6"/>
        <v>8000</v>
      </c>
    </row>
    <row r="397" spans="1:15" x14ac:dyDescent="0.3">
      <c r="A397" s="1" t="s">
        <v>772</v>
      </c>
      <c r="B397" s="2">
        <v>45532</v>
      </c>
      <c r="C397" s="1" t="str">
        <f>IF(TRIM(sales_dataset[[#This Row],[SalesChannel]])="",sales_dataset!C398,PROPER(TRIM(sales_dataset[[#This Row],[SalesChannel]])))</f>
        <v>Online</v>
      </c>
      <c r="D397" s="1" t="s">
        <v>648</v>
      </c>
      <c r="E397" s="1" t="str">
        <f>IF(TRIM(sales_dataset[[#This Row],[CustomerName]])="",sales_dataset!F403, PROPER(TRIM(sales_dataset[[#This Row],[CustomerName]])))</f>
        <v>Amit</v>
      </c>
      <c r="F397" s="1" t="str">
        <f>IF(TRIM(sales_dataset[[#This Row],[City]])="", sales_dataset!$H$3, PROPER(TRIM(sales_dataset[[#This Row],[City]])))</f>
        <v>Chennai</v>
      </c>
      <c r="G397" t="str">
        <f>PROPER(sales_dataset[[#This Row],[Region cleaned]])</f>
        <v>West</v>
      </c>
      <c r="H397" t="s">
        <v>247</v>
      </c>
      <c r="I397" t="str">
        <f>IF(TRIM(sales_dataset[[#This Row],[SalespersonName]])="",I400,PROPER(TRIM(sales_dataset[[#This Row],[SalespersonName]])))</f>
        <v>Kevin</v>
      </c>
      <c r="J397" s="1" t="s">
        <v>351</v>
      </c>
      <c r="K397" s="1" t="str">
        <f>PROPER(sales_dataset[[#This Row],[ProductCategory cleaned]])</f>
        <v>Home</v>
      </c>
      <c r="L397" s="1" t="str">
        <f>PROPER(sales_dataset[[#This Row],[ProductName]])</f>
        <v>Shirt</v>
      </c>
      <c r="M397">
        <f>ABS(sales_dataset!W:W)</f>
        <v>1</v>
      </c>
      <c r="N397">
        <f>ABS(sales_dataset[[#This Row],[Column4]])</f>
        <v>100</v>
      </c>
      <c r="O397">
        <f t="shared" si="6"/>
        <v>100</v>
      </c>
    </row>
    <row r="398" spans="1:15" x14ac:dyDescent="0.3">
      <c r="A398" s="1" t="s">
        <v>773</v>
      </c>
      <c r="B398" s="2">
        <v>45405</v>
      </c>
      <c r="C398" s="1" t="str">
        <f>IF(TRIM(sales_dataset[[#This Row],[SalesChannel]])="",sales_dataset!C399,PROPER(TRIM(sales_dataset[[#This Row],[SalesChannel]])))</f>
        <v>Online</v>
      </c>
      <c r="D398" s="1" t="s">
        <v>596</v>
      </c>
      <c r="E398" s="1" t="str">
        <f>IF(TRIM(sales_dataset[[#This Row],[CustomerName]])="",sales_dataset!F404, PROPER(TRIM(sales_dataset[[#This Row],[CustomerName]])))</f>
        <v>Priya</v>
      </c>
      <c r="F398" s="1" t="str">
        <f>IF(TRIM(sales_dataset[[#This Row],[City]])="", sales_dataset!$H$3, PROPER(TRIM(sales_dataset[[#This Row],[City]])))</f>
        <v>Chennai</v>
      </c>
      <c r="G398" t="str">
        <f>PROPER(sales_dataset[[#This Row],[Region cleaned]])</f>
        <v>North</v>
      </c>
      <c r="H398" t="s">
        <v>107</v>
      </c>
      <c r="I398" t="str">
        <f>IF(TRIM(sales_dataset[[#This Row],[SalespersonName]])="",I401,PROPER(TRIM(sales_dataset[[#This Row],[SalespersonName]])))</f>
        <v>Kevin</v>
      </c>
      <c r="J398" s="1" t="s">
        <v>62</v>
      </c>
      <c r="K398" s="1" t="str">
        <f>PROPER(sales_dataset[[#This Row],[ProductCategory cleaned]])</f>
        <v>Clothing</v>
      </c>
      <c r="L398" s="1" t="str">
        <f>PROPER(sales_dataset[[#This Row],[ProductName]])</f>
        <v>Shirt</v>
      </c>
      <c r="M398">
        <f>ABS(sales_dataset!W:W)</f>
        <v>5</v>
      </c>
      <c r="N398">
        <f>ABS(sales_dataset[[#This Row],[Column4]])</f>
        <v>2000</v>
      </c>
      <c r="O398">
        <f t="shared" si="6"/>
        <v>10000</v>
      </c>
    </row>
    <row r="399" spans="1:15" x14ac:dyDescent="0.3">
      <c r="A399" s="1" t="s">
        <v>774</v>
      </c>
      <c r="B399" s="2">
        <v>45394</v>
      </c>
      <c r="C399" s="1" t="str">
        <f>IF(TRIM(sales_dataset[[#This Row],[SalesChannel]])="",sales_dataset!C400,PROPER(TRIM(sales_dataset[[#This Row],[SalesChannel]])))</f>
        <v>Offline</v>
      </c>
      <c r="D399" s="1" t="s">
        <v>762</v>
      </c>
      <c r="E399" s="1" t="str">
        <f>IF(TRIM(sales_dataset[[#This Row],[CustomerName]])="",sales_dataset!F405, PROPER(TRIM(sales_dataset[[#This Row],[CustomerName]])))</f>
        <v>John</v>
      </c>
      <c r="F399" s="1" t="str">
        <f>IF(TRIM(sales_dataset[[#This Row],[City]])="", sales_dataset!$H$3, PROPER(TRIM(sales_dataset[[#This Row],[City]])))</f>
        <v>Mumbai</v>
      </c>
      <c r="G399" t="str">
        <f>PROPER(sales_dataset[[#This Row],[Region cleaned]])</f>
        <v>North</v>
      </c>
      <c r="H399" t="s">
        <v>433</v>
      </c>
      <c r="I399" t="str">
        <f>IF(TRIM(sales_dataset[[#This Row],[SalespersonName]])="",I402,PROPER(TRIM(sales_dataset[[#This Row],[SalespersonName]])))</f>
        <v>Raj</v>
      </c>
      <c r="J399" s="1" t="s">
        <v>598</v>
      </c>
      <c r="K399" s="1" t="str">
        <f>PROPER(sales_dataset[[#This Row],[ProductCategory cleaned]])</f>
        <v>Electronics</v>
      </c>
      <c r="L399" s="1" t="str">
        <f>PROPER(sales_dataset[[#This Row],[ProductName]])</f>
        <v>Tv</v>
      </c>
      <c r="M399">
        <f>ABS(sales_dataset!W:W)</f>
        <v>5</v>
      </c>
      <c r="N399">
        <f>ABS(sales_dataset[[#This Row],[Column4]])</f>
        <v>100</v>
      </c>
      <c r="O399">
        <f t="shared" si="6"/>
        <v>500</v>
      </c>
    </row>
    <row r="400" spans="1:15" x14ac:dyDescent="0.3">
      <c r="A400" s="1" t="s">
        <v>775</v>
      </c>
      <c r="B400" s="2">
        <v>45527</v>
      </c>
      <c r="C400" s="1" t="str">
        <f>IF(TRIM(sales_dataset[[#This Row],[SalesChannel]])="",sales_dataset!C401,PROPER(TRIM(sales_dataset[[#This Row],[SalesChannel]])))</f>
        <v>Store</v>
      </c>
      <c r="D400" s="1" t="s">
        <v>295</v>
      </c>
      <c r="E400" s="1" t="str">
        <f>IF(TRIM(sales_dataset[[#This Row],[CustomerName]])="",sales_dataset!F406, PROPER(TRIM(sales_dataset[[#This Row],[CustomerName]])))</f>
        <v>Sara</v>
      </c>
      <c r="F400" s="1" t="str">
        <f>IF(TRIM(sales_dataset[[#This Row],[City]])="", sales_dataset!$H$3, PROPER(TRIM(sales_dataset[[#This Row],[City]])))</f>
        <v>Mumbai</v>
      </c>
      <c r="G400" t="str">
        <f>PROPER(sales_dataset[[#This Row],[Region cleaned]])</f>
        <v>South</v>
      </c>
      <c r="H400" t="s">
        <v>433</v>
      </c>
      <c r="I400" t="str">
        <f>IF(TRIM(sales_dataset[[#This Row],[SalespersonName]])="",I403,PROPER(TRIM(sales_dataset[[#This Row],[SalespersonName]])))</f>
        <v>Raj</v>
      </c>
      <c r="J400" s="1" t="s">
        <v>566</v>
      </c>
      <c r="K400" s="1" t="str">
        <f>PROPER(sales_dataset[[#This Row],[ProductCategory cleaned]])</f>
        <v>Electronics</v>
      </c>
      <c r="L400" s="1" t="str">
        <f>PROPER(sales_dataset[[#This Row],[ProductName]])</f>
        <v>Sofa</v>
      </c>
      <c r="M400">
        <f>ABS(sales_dataset!W:W)</f>
        <v>1</v>
      </c>
      <c r="N400">
        <f>ABS(sales_dataset[[#This Row],[Column4]])</f>
        <v>0</v>
      </c>
      <c r="O400">
        <f t="shared" si="6"/>
        <v>0</v>
      </c>
    </row>
    <row r="401" spans="1:15" x14ac:dyDescent="0.3">
      <c r="A401" s="1" t="s">
        <v>776</v>
      </c>
      <c r="B401" s="2">
        <v>45471</v>
      </c>
      <c r="C401" s="1" t="str">
        <f>IF(TRIM(sales_dataset[[#This Row],[SalesChannel]])="",sales_dataset!C402,PROPER(TRIM(sales_dataset[[#This Row],[SalesChannel]])))</f>
        <v>Store</v>
      </c>
      <c r="D401" s="1" t="s">
        <v>155</v>
      </c>
      <c r="E401" s="1" t="str">
        <f>IF(TRIM(sales_dataset[[#This Row],[CustomerName]])="",sales_dataset!F407, PROPER(TRIM(sales_dataset[[#This Row],[CustomerName]])))</f>
        <v>Amit</v>
      </c>
      <c r="F401" s="1" t="str">
        <f>IF(TRIM(sales_dataset[[#This Row],[City]])="", sales_dataset!$H$3, PROPER(TRIM(sales_dataset[[#This Row],[City]])))</f>
        <v>Bengaluru</v>
      </c>
      <c r="G401" t="str">
        <f>PROPER(sales_dataset[[#This Row],[Region cleaned]])</f>
        <v>East</v>
      </c>
      <c r="H401" t="s">
        <v>237</v>
      </c>
      <c r="I401" t="str">
        <f>IF(TRIM(sales_dataset[[#This Row],[SalespersonName]])="",I404,PROPER(TRIM(sales_dataset[[#This Row],[SalespersonName]])))</f>
        <v>Raj</v>
      </c>
      <c r="J401" s="1" t="s">
        <v>251</v>
      </c>
      <c r="K401" s="1" t="str">
        <f>PROPER(sales_dataset[[#This Row],[ProductCategory cleaned]])</f>
        <v>Electronics</v>
      </c>
      <c r="L401" s="1" t="str">
        <f>PROPER(sales_dataset[[#This Row],[ProductName]])</f>
        <v>Tv</v>
      </c>
      <c r="M401">
        <f>ABS(sales_dataset!W:W)</f>
        <v>1</v>
      </c>
      <c r="N401">
        <f>ABS(sales_dataset[[#This Row],[Column4]])</f>
        <v>1500</v>
      </c>
      <c r="O401">
        <f t="shared" si="6"/>
        <v>1500</v>
      </c>
    </row>
    <row r="402" spans="1:15" x14ac:dyDescent="0.3">
      <c r="A402" s="1" t="s">
        <v>777</v>
      </c>
      <c r="B402" s="2">
        <v>45448</v>
      </c>
      <c r="C402" s="1" t="str">
        <f>IF(TRIM(sales_dataset[[#This Row],[SalesChannel]])="",sales_dataset!C403,PROPER(TRIM(sales_dataset[[#This Row],[SalesChannel]])))</f>
        <v>Online</v>
      </c>
      <c r="D402" s="1" t="s">
        <v>686</v>
      </c>
      <c r="E402" s="1" t="str">
        <f>IF(TRIM(sales_dataset[[#This Row],[CustomerName]])="",sales_dataset!F408, PROPER(TRIM(sales_dataset[[#This Row],[CustomerName]])))</f>
        <v>David</v>
      </c>
      <c r="F402" s="1" t="str">
        <f>IF(TRIM(sales_dataset[[#This Row],[City]])="", sales_dataset!$H$3, PROPER(TRIM(sales_dataset[[#This Row],[City]])))</f>
        <v>Delhi</v>
      </c>
      <c r="G402" t="str">
        <f>PROPER(sales_dataset[[#This Row],[Region cleaned]])</f>
        <v>West</v>
      </c>
      <c r="H402" t="s">
        <v>218</v>
      </c>
      <c r="I402" t="str">
        <f>IF(TRIM(sales_dataset[[#This Row],[SalespersonName]])="",I405,PROPER(TRIM(sales_dataset[[#This Row],[SalespersonName]])))</f>
        <v>Kevin</v>
      </c>
      <c r="J402" s="1" t="s">
        <v>279</v>
      </c>
      <c r="K402" s="1" t="str">
        <f>PROPER(sales_dataset[[#This Row],[ProductCategory cleaned]])</f>
        <v>Electronics</v>
      </c>
      <c r="L402" s="1" t="str">
        <f>PROPER(sales_dataset[[#This Row],[ProductName]])</f>
        <v>Shirt</v>
      </c>
      <c r="M402">
        <f>ABS(sales_dataset!W:W)</f>
        <v>1</v>
      </c>
      <c r="N402">
        <f>ABS(sales_dataset[[#This Row],[Column4]])</f>
        <v>2000</v>
      </c>
      <c r="O402">
        <f t="shared" si="6"/>
        <v>2000</v>
      </c>
    </row>
    <row r="403" spans="1:15" x14ac:dyDescent="0.3">
      <c r="A403" s="1" t="s">
        <v>778</v>
      </c>
      <c r="B403" s="2">
        <v>45408</v>
      </c>
      <c r="C403" s="1" t="str">
        <f>IF(TRIM(sales_dataset[[#This Row],[SalesChannel]])="",sales_dataset!C404,PROPER(TRIM(sales_dataset[[#This Row],[SalesChannel]])))</f>
        <v>Online</v>
      </c>
      <c r="D403" s="1" t="s">
        <v>699</v>
      </c>
      <c r="E403" s="1" t="str">
        <f>IF(TRIM(sales_dataset[[#This Row],[CustomerName]])="",sales_dataset!F409, PROPER(TRIM(sales_dataset[[#This Row],[CustomerName]])))</f>
        <v>David</v>
      </c>
      <c r="F403" s="1" t="str">
        <f>IF(TRIM(sales_dataset[[#This Row],[City]])="", sales_dataset!$H$3, PROPER(TRIM(sales_dataset[[#This Row],[City]])))</f>
        <v>Bengaluru</v>
      </c>
      <c r="G403" t="str">
        <f>PROPER(sales_dataset[[#This Row],[Region cleaned]])</f>
        <v>North</v>
      </c>
      <c r="H403" t="s">
        <v>85</v>
      </c>
      <c r="I403" t="str">
        <f>IF(TRIM(sales_dataset[[#This Row],[SalespersonName]])="",I406,PROPER(TRIM(sales_dataset[[#This Row],[SalespersonName]])))</f>
        <v>Anita</v>
      </c>
      <c r="J403" s="1" t="s">
        <v>421</v>
      </c>
      <c r="K403" s="1" t="str">
        <f>PROPER(sales_dataset[[#This Row],[ProductCategory cleaned]])</f>
        <v>Clothing</v>
      </c>
      <c r="L403" s="1" t="str">
        <f>PROPER(sales_dataset[[#This Row],[ProductName]])</f>
        <v>Shirt</v>
      </c>
      <c r="M403">
        <f>ABS(sales_dataset!W:W)</f>
        <v>1</v>
      </c>
      <c r="N403">
        <f>ABS(sales_dataset[[#This Row],[Column4]])</f>
        <v>2000</v>
      </c>
      <c r="O403">
        <f t="shared" si="6"/>
        <v>2000</v>
      </c>
    </row>
    <row r="404" spans="1:15" x14ac:dyDescent="0.3">
      <c r="A404" s="1" t="s">
        <v>779</v>
      </c>
      <c r="B404" s="2">
        <v>45406</v>
      </c>
      <c r="C404" s="1" t="str">
        <f>IF(TRIM(sales_dataset[[#This Row],[SalesChannel]])="",sales_dataset!C405,PROPER(TRIM(sales_dataset[[#This Row],[SalesChannel]])))</f>
        <v>Online</v>
      </c>
      <c r="D404" s="1" t="s">
        <v>313</v>
      </c>
      <c r="E404" s="1" t="str">
        <f>IF(TRIM(sales_dataset[[#This Row],[CustomerName]])="",sales_dataset!F410, PROPER(TRIM(sales_dataset[[#This Row],[CustomerName]])))</f>
        <v>Priya</v>
      </c>
      <c r="F404" s="1" t="str">
        <f>IF(TRIM(sales_dataset[[#This Row],[City]])="", sales_dataset!$H$3, PROPER(TRIM(sales_dataset[[#This Row],[City]])))</f>
        <v>Mumbai</v>
      </c>
      <c r="G404" t="str">
        <f>PROPER(sales_dataset[[#This Row],[Region cleaned]])</f>
        <v>West</v>
      </c>
      <c r="H404" t="s">
        <v>55</v>
      </c>
      <c r="I404" t="str">
        <f>IF(TRIM(sales_dataset[[#This Row],[SalespersonName]])="",I407,PROPER(TRIM(sales_dataset[[#This Row],[SalespersonName]])))</f>
        <v>Kevin</v>
      </c>
      <c r="J404" s="1" t="s">
        <v>353</v>
      </c>
      <c r="K404" s="1" t="str">
        <f>PROPER(sales_dataset[[#This Row],[ProductCategory cleaned]])</f>
        <v>Electronics</v>
      </c>
      <c r="L404" s="1" t="str">
        <f>PROPER(sales_dataset[[#This Row],[ProductName]])</f>
        <v>Shirt</v>
      </c>
      <c r="M404">
        <f>ABS(sales_dataset!W:W)</f>
        <v>5</v>
      </c>
      <c r="N404">
        <f>ABS(sales_dataset[[#This Row],[Column4]])</f>
        <v>2000</v>
      </c>
      <c r="O404">
        <f t="shared" si="6"/>
        <v>10000</v>
      </c>
    </row>
    <row r="405" spans="1:15" x14ac:dyDescent="0.3">
      <c r="A405" s="1" t="s">
        <v>780</v>
      </c>
      <c r="B405" s="2">
        <v>45304</v>
      </c>
      <c r="C405" s="1" t="str">
        <f>IF(TRIM(sales_dataset[[#This Row],[SalesChannel]])="",sales_dataset!C406,PROPER(TRIM(sales_dataset[[#This Row],[SalesChannel]])))</f>
        <v>Offline</v>
      </c>
      <c r="D405" s="1" t="s">
        <v>781</v>
      </c>
      <c r="E405" s="1" t="str">
        <f>IF(TRIM(sales_dataset[[#This Row],[CustomerName]])="",sales_dataset!F411, PROPER(TRIM(sales_dataset[[#This Row],[CustomerName]])))</f>
        <v>David</v>
      </c>
      <c r="F405" s="1" t="str">
        <f>IF(TRIM(sales_dataset[[#This Row],[City]])="", sales_dataset!$H$3, PROPER(TRIM(sales_dataset[[#This Row],[City]])))</f>
        <v>Mumbai</v>
      </c>
      <c r="G405" t="str">
        <f>PROPER(sales_dataset[[#This Row],[Region cleaned]])</f>
        <v>West</v>
      </c>
      <c r="H405" t="s">
        <v>376</v>
      </c>
      <c r="I405" t="str">
        <f>IF(TRIM(sales_dataset[[#This Row],[SalespersonName]])="",I408,PROPER(TRIM(sales_dataset[[#This Row],[SalespersonName]])))</f>
        <v>Kevin</v>
      </c>
      <c r="J405" s="1" t="s">
        <v>390</v>
      </c>
      <c r="K405" s="1" t="str">
        <f>PROPER(sales_dataset[[#This Row],[ProductCategory cleaned]])</f>
        <v>Clothing</v>
      </c>
      <c r="L405" s="1" t="str">
        <f>PROPER(sales_dataset[[#This Row],[ProductName]])</f>
        <v>Shirt</v>
      </c>
      <c r="M405">
        <f>ABS(sales_dataset!W:W)</f>
        <v>5</v>
      </c>
      <c r="N405">
        <f>ABS(sales_dataset[[#This Row],[Column4]])</f>
        <v>2000</v>
      </c>
      <c r="O405">
        <f t="shared" si="6"/>
        <v>10000</v>
      </c>
    </row>
    <row r="406" spans="1:15" x14ac:dyDescent="0.3">
      <c r="A406" s="1" t="s">
        <v>782</v>
      </c>
      <c r="B406" s="2">
        <v>45390</v>
      </c>
      <c r="C406" s="1" t="str">
        <f>IF(TRIM(sales_dataset[[#This Row],[SalesChannel]])="",sales_dataset!C407,PROPER(TRIM(sales_dataset[[#This Row],[SalesChannel]])))</f>
        <v>Store</v>
      </c>
      <c r="D406" s="1" t="s">
        <v>214</v>
      </c>
      <c r="E406" s="1" t="str">
        <f>IF(TRIM(sales_dataset[[#This Row],[CustomerName]])="",sales_dataset!F412, PROPER(TRIM(sales_dataset[[#This Row],[CustomerName]])))</f>
        <v>John</v>
      </c>
      <c r="F406" s="1" t="str">
        <f>IF(TRIM(sales_dataset[[#This Row],[City]])="", sales_dataset!$H$3, PROPER(TRIM(sales_dataset[[#This Row],[City]])))</f>
        <v>Delhi</v>
      </c>
      <c r="G406" t="str">
        <f>PROPER(sales_dataset[[#This Row],[Region cleaned]])</f>
        <v>East</v>
      </c>
      <c r="H406" t="s">
        <v>209</v>
      </c>
      <c r="I406" t="str">
        <f>IF(TRIM(sales_dataset[[#This Row],[SalespersonName]])="",I409,PROPER(TRIM(sales_dataset[[#This Row],[SalespersonName]])))</f>
        <v>Raj</v>
      </c>
      <c r="J406" s="1" t="s">
        <v>515</v>
      </c>
      <c r="K406" s="1" t="str">
        <f>PROPER(sales_dataset[[#This Row],[ProductCategory cleaned]])</f>
        <v>Electronics</v>
      </c>
      <c r="L406" s="1" t="str">
        <f>PROPER(sales_dataset[[#This Row],[ProductName]])</f>
        <v/>
      </c>
      <c r="M406">
        <f>ABS(sales_dataset!W:W)</f>
        <v>0</v>
      </c>
      <c r="N406">
        <f>ABS(sales_dataset[[#This Row],[Column4]])</f>
        <v>2500</v>
      </c>
      <c r="O406">
        <f t="shared" si="6"/>
        <v>0</v>
      </c>
    </row>
    <row r="407" spans="1:15" x14ac:dyDescent="0.3">
      <c r="A407" s="1" t="s">
        <v>783</v>
      </c>
      <c r="B407" s="2">
        <v>45496</v>
      </c>
      <c r="C407" s="1" t="str">
        <f>IF(TRIM(sales_dataset[[#This Row],[SalesChannel]])="",sales_dataset!C408,PROPER(TRIM(sales_dataset[[#This Row],[SalesChannel]])))</f>
        <v>Store</v>
      </c>
      <c r="D407" s="1" t="s">
        <v>273</v>
      </c>
      <c r="E407" s="1" t="str">
        <f>IF(TRIM(sales_dataset[[#This Row],[CustomerName]])="",sales_dataset!F413, PROPER(TRIM(sales_dataset[[#This Row],[CustomerName]])))</f>
        <v>Priya</v>
      </c>
      <c r="F407" s="1" t="str">
        <f>IF(TRIM(sales_dataset[[#This Row],[City]])="", sales_dataset!$H$3, PROPER(TRIM(sales_dataset[[#This Row],[City]])))</f>
        <v>Delhi</v>
      </c>
      <c r="G407" t="str">
        <f>PROPER(sales_dataset[[#This Row],[Region cleaned]])</f>
        <v>North</v>
      </c>
      <c r="H407" t="s">
        <v>247</v>
      </c>
      <c r="I407" t="str">
        <f>IF(TRIM(sales_dataset[[#This Row],[SalespersonName]])="",I410,PROPER(TRIM(sales_dataset[[#This Row],[SalespersonName]])))</f>
        <v>Megha</v>
      </c>
      <c r="J407" s="1" t="s">
        <v>408</v>
      </c>
      <c r="K407" s="1" t="str">
        <f>PROPER(sales_dataset[[#This Row],[ProductCategory cleaned]])</f>
        <v>Electronics</v>
      </c>
      <c r="L407" s="1" t="str">
        <f>PROPER(sales_dataset[[#This Row],[ProductName]])</f>
        <v>Shirt</v>
      </c>
      <c r="M407">
        <f>ABS(sales_dataset!W:W)</f>
        <v>3</v>
      </c>
      <c r="N407">
        <f>ABS(sales_dataset[[#This Row],[Column4]])</f>
        <v>1500</v>
      </c>
      <c r="O407">
        <f t="shared" si="6"/>
        <v>4500</v>
      </c>
    </row>
    <row r="408" spans="1:15" x14ac:dyDescent="0.3">
      <c r="A408" s="1" t="s">
        <v>784</v>
      </c>
      <c r="B408" s="2">
        <v>45460</v>
      </c>
      <c r="C408" s="1" t="str">
        <f>IF(TRIM(sales_dataset[[#This Row],[SalesChannel]])="",sales_dataset!C409,PROPER(TRIM(sales_dataset[[#This Row],[SalesChannel]])))</f>
        <v>Online</v>
      </c>
      <c r="D408" s="1" t="s">
        <v>785</v>
      </c>
      <c r="E408" s="1" t="str">
        <f>IF(TRIM(sales_dataset[[#This Row],[CustomerName]])="",sales_dataset!F414, PROPER(TRIM(sales_dataset[[#This Row],[CustomerName]])))</f>
        <v>Amit</v>
      </c>
      <c r="F408" s="1" t="str">
        <f>IF(TRIM(sales_dataset[[#This Row],[City]])="", sales_dataset!$H$3, PROPER(TRIM(sales_dataset[[#This Row],[City]])))</f>
        <v>Mumbai</v>
      </c>
      <c r="G408" t="str">
        <f>PROPER(sales_dataset[[#This Row],[Region cleaned]])</f>
        <v>East</v>
      </c>
      <c r="H408" t="s">
        <v>111</v>
      </c>
      <c r="I408" t="str">
        <f>IF(TRIM(sales_dataset[[#This Row],[SalespersonName]])="",I411,PROPER(TRIM(sales_dataset[[#This Row],[SalespersonName]])))</f>
        <v>Raj</v>
      </c>
      <c r="J408" s="1" t="s">
        <v>104</v>
      </c>
      <c r="K408" s="1" t="str">
        <f>PROPER(sales_dataset[[#This Row],[ProductCategory cleaned]])</f>
        <v>Electronics</v>
      </c>
      <c r="L408" s="1" t="str">
        <f>PROPER(sales_dataset[[#This Row],[ProductName]])</f>
        <v>Shirt</v>
      </c>
      <c r="M408">
        <f>ABS(sales_dataset!W:W)</f>
        <v>5</v>
      </c>
      <c r="N408">
        <f>ABS(sales_dataset[[#This Row],[Column4]])</f>
        <v>500</v>
      </c>
      <c r="O408">
        <f t="shared" si="6"/>
        <v>2500</v>
      </c>
    </row>
    <row r="409" spans="1:15" x14ac:dyDescent="0.3">
      <c r="A409" s="1" t="s">
        <v>786</v>
      </c>
      <c r="B409" s="2">
        <v>45434</v>
      </c>
      <c r="C409" s="1" t="str">
        <f>IF(TRIM(sales_dataset[[#This Row],[SalesChannel]])="",sales_dataset!C410,PROPER(TRIM(sales_dataset[[#This Row],[SalesChannel]])))</f>
        <v>Online</v>
      </c>
      <c r="D409" s="1" t="s">
        <v>389</v>
      </c>
      <c r="E409" s="1" t="str">
        <f>IF(TRIM(sales_dataset[[#This Row],[CustomerName]])="",sales_dataset!F415, PROPER(TRIM(sales_dataset[[#This Row],[CustomerName]])))</f>
        <v>Priya</v>
      </c>
      <c r="F409" s="1" t="str">
        <f>IF(TRIM(sales_dataset[[#This Row],[City]])="", sales_dataset!$H$3, PROPER(TRIM(sales_dataset[[#This Row],[City]])))</f>
        <v>Hyderabad</v>
      </c>
      <c r="G409" t="str">
        <f>PROPER(sales_dataset[[#This Row],[Region cleaned]])</f>
        <v>South</v>
      </c>
      <c r="H409" t="s">
        <v>413</v>
      </c>
      <c r="I409" t="str">
        <f>IF(TRIM(sales_dataset[[#This Row],[SalespersonName]])="",I412,PROPER(TRIM(sales_dataset[[#This Row],[SalespersonName]])))</f>
        <v>Megha</v>
      </c>
      <c r="J409" s="1" t="s">
        <v>353</v>
      </c>
      <c r="K409" s="1" t="str">
        <f>PROPER(sales_dataset[[#This Row],[ProductCategory cleaned]])</f>
        <v>Electronics</v>
      </c>
      <c r="L409" s="1" t="str">
        <f>PROPER(sales_dataset[[#This Row],[ProductName]])</f>
        <v>Shirt</v>
      </c>
      <c r="M409">
        <f>ABS(sales_dataset!W:W)</f>
        <v>5</v>
      </c>
      <c r="N409">
        <f>ABS(sales_dataset[[#This Row],[Column4]])</f>
        <v>2000</v>
      </c>
      <c r="O409">
        <f t="shared" si="6"/>
        <v>10000</v>
      </c>
    </row>
    <row r="410" spans="1:15" x14ac:dyDescent="0.3">
      <c r="A410" s="1" t="s">
        <v>787</v>
      </c>
      <c r="B410" s="2">
        <v>45327</v>
      </c>
      <c r="C410" s="1" t="str">
        <f>IF(TRIM(sales_dataset[[#This Row],[SalesChannel]])="",sales_dataset!C411,PROPER(TRIM(sales_dataset[[#This Row],[SalesChannel]])))</f>
        <v>Online</v>
      </c>
      <c r="D410" s="1" t="s">
        <v>253</v>
      </c>
      <c r="E410" s="1" t="str">
        <f>IF(TRIM(sales_dataset[[#This Row],[CustomerName]])="",sales_dataset!F416, PROPER(TRIM(sales_dataset[[#This Row],[CustomerName]])))</f>
        <v>Amit</v>
      </c>
      <c r="F410" s="1" t="str">
        <f>IF(TRIM(sales_dataset[[#This Row],[City]])="", sales_dataset!$H$3, PROPER(TRIM(sales_dataset[[#This Row],[City]])))</f>
        <v>Hyderabad</v>
      </c>
      <c r="G410" t="str">
        <f>PROPER(sales_dataset[[#This Row],[Region cleaned]])</f>
        <v>North</v>
      </c>
      <c r="H410" t="s">
        <v>20</v>
      </c>
      <c r="I410" t="str">
        <f>IF(TRIM(sales_dataset[[#This Row],[SalespersonName]])="",I413,PROPER(TRIM(sales_dataset[[#This Row],[SalespersonName]])))</f>
        <v>Anita</v>
      </c>
      <c r="J410" s="1" t="s">
        <v>448</v>
      </c>
      <c r="K410" s="1" t="str">
        <f>PROPER(sales_dataset[[#This Row],[ProductCategory cleaned]])</f>
        <v>Home</v>
      </c>
      <c r="L410" s="1" t="str">
        <f>PROPER(sales_dataset[[#This Row],[ProductName]])</f>
        <v>Shirt</v>
      </c>
      <c r="M410">
        <f>ABS(sales_dataset!W:W)</f>
        <v>2</v>
      </c>
      <c r="N410">
        <f>ABS(sales_dataset[[#This Row],[Column4]])</f>
        <v>1500</v>
      </c>
      <c r="O410">
        <f t="shared" si="6"/>
        <v>3000</v>
      </c>
    </row>
    <row r="411" spans="1:15" x14ac:dyDescent="0.3">
      <c r="A411" s="1" t="s">
        <v>788</v>
      </c>
      <c r="B411" s="2">
        <v>45434</v>
      </c>
      <c r="C411" s="1" t="str">
        <f>IF(TRIM(sales_dataset[[#This Row],[SalesChannel]])="",sales_dataset!C412,PROPER(TRIM(sales_dataset[[#This Row],[SalesChannel]])))</f>
        <v>Offline</v>
      </c>
      <c r="D411" s="1" t="s">
        <v>176</v>
      </c>
      <c r="E411" s="1" t="str">
        <f>IF(TRIM(sales_dataset[[#This Row],[CustomerName]])="",sales_dataset!F417, PROPER(TRIM(sales_dataset[[#This Row],[CustomerName]])))</f>
        <v>Sara</v>
      </c>
      <c r="F411" s="1" t="str">
        <f>IF(TRIM(sales_dataset[[#This Row],[City]])="", sales_dataset!$H$3, PROPER(TRIM(sales_dataset[[#This Row],[City]])))</f>
        <v>Hyderabad</v>
      </c>
      <c r="G411" t="str">
        <f>PROPER(sales_dataset[[#This Row],[Region cleaned]])</f>
        <v>South</v>
      </c>
      <c r="H411" t="s">
        <v>218</v>
      </c>
      <c r="I411" t="str">
        <f>IF(TRIM(sales_dataset[[#This Row],[SalespersonName]])="",I414,PROPER(TRIM(sales_dataset[[#This Row],[SalespersonName]])))</f>
        <v>Anita</v>
      </c>
      <c r="J411" s="1" t="s">
        <v>159</v>
      </c>
      <c r="K411" s="1" t="str">
        <f>PROPER(sales_dataset[[#This Row],[ProductCategory cleaned]])</f>
        <v>Electronics</v>
      </c>
      <c r="L411" s="1" t="str">
        <f>PROPER(sales_dataset[[#This Row],[ProductName]])</f>
        <v>Shirt</v>
      </c>
      <c r="M411">
        <f>ABS(sales_dataset!W:W)</f>
        <v>1</v>
      </c>
      <c r="N411">
        <f>ABS(sales_dataset[[#This Row],[Column4]])</f>
        <v>1500</v>
      </c>
      <c r="O411">
        <f t="shared" si="6"/>
        <v>1500</v>
      </c>
    </row>
    <row r="412" spans="1:15" x14ac:dyDescent="0.3">
      <c r="A412" s="1" t="s">
        <v>789</v>
      </c>
      <c r="B412" s="2">
        <v>45471</v>
      </c>
      <c r="C412" s="1" t="str">
        <f>IF(TRIM(sales_dataset[[#This Row],[SalesChannel]])="",sales_dataset!C413,PROPER(TRIM(sales_dataset[[#This Row],[SalesChannel]])))</f>
        <v>Store</v>
      </c>
      <c r="D412" s="1" t="s">
        <v>217</v>
      </c>
      <c r="E412" s="1" t="str">
        <f>IF(TRIM(sales_dataset[[#This Row],[CustomerName]])="",sales_dataset!F418, PROPER(TRIM(sales_dataset[[#This Row],[CustomerName]])))</f>
        <v>Priya</v>
      </c>
      <c r="F412" s="1" t="str">
        <f>IF(TRIM(sales_dataset[[#This Row],[City]])="", sales_dataset!$H$3, PROPER(TRIM(sales_dataset[[#This Row],[City]])))</f>
        <v>Chennai</v>
      </c>
      <c r="G412" t="str">
        <f>PROPER(sales_dataset[[#This Row],[Region cleaned]])</f>
        <v>North</v>
      </c>
      <c r="H412" t="s">
        <v>140</v>
      </c>
      <c r="I412" t="str">
        <f>IF(TRIM(sales_dataset[[#This Row],[SalespersonName]])="",I415,PROPER(TRIM(sales_dataset[[#This Row],[SalespersonName]])))</f>
        <v>Sam</v>
      </c>
      <c r="J412" s="1" t="s">
        <v>31</v>
      </c>
      <c r="K412" s="1" t="str">
        <f>PROPER(sales_dataset[[#This Row],[ProductCategory cleaned]])</f>
        <v>Clothing</v>
      </c>
      <c r="L412" s="1" t="str">
        <f>PROPER(sales_dataset[[#This Row],[ProductName]])</f>
        <v>Shirt</v>
      </c>
      <c r="M412">
        <f>ABS(sales_dataset!W:W)</f>
        <v>1</v>
      </c>
      <c r="N412">
        <f>ABS(sales_dataset[[#This Row],[Column4]])</f>
        <v>100</v>
      </c>
      <c r="O412">
        <f t="shared" si="6"/>
        <v>100</v>
      </c>
    </row>
    <row r="413" spans="1:15" x14ac:dyDescent="0.3">
      <c r="A413" s="1" t="s">
        <v>790</v>
      </c>
      <c r="B413" s="2">
        <v>45552</v>
      </c>
      <c r="C413" s="1" t="str">
        <f>IF(TRIM(sales_dataset[[#This Row],[SalesChannel]])="",sales_dataset!C414,PROPER(TRIM(sales_dataset[[#This Row],[SalesChannel]])))</f>
        <v>Store</v>
      </c>
      <c r="D413" s="1" t="s">
        <v>791</v>
      </c>
      <c r="E413" s="1" t="str">
        <f>IF(TRIM(sales_dataset[[#This Row],[CustomerName]])="",sales_dataset!F419, PROPER(TRIM(sales_dataset[[#This Row],[CustomerName]])))</f>
        <v>Priya</v>
      </c>
      <c r="F413" s="1" t="str">
        <f>IF(TRIM(sales_dataset[[#This Row],[City]])="", sales_dataset!$H$3, PROPER(TRIM(sales_dataset[[#This Row],[City]])))</f>
        <v>Chennai</v>
      </c>
      <c r="G413" t="str">
        <f>PROPER(sales_dataset[[#This Row],[Region cleaned]])</f>
        <v>South</v>
      </c>
      <c r="H413" t="s">
        <v>224</v>
      </c>
      <c r="I413" t="str">
        <f>IF(TRIM(sales_dataset[[#This Row],[SalespersonName]])="",I416,PROPER(TRIM(sales_dataset[[#This Row],[SalespersonName]])))</f>
        <v>Sam</v>
      </c>
      <c r="J413" s="1" t="s">
        <v>112</v>
      </c>
      <c r="K413" s="1" t="str">
        <f>PROPER(sales_dataset[[#This Row],[ProductCategory cleaned]])</f>
        <v>Clothing</v>
      </c>
      <c r="L413" s="1" t="str">
        <f>PROPER(sales_dataset[[#This Row],[ProductName]])</f>
        <v>Laptop</v>
      </c>
      <c r="M413">
        <f>ABS(sales_dataset!W:W)</f>
        <v>4</v>
      </c>
      <c r="N413">
        <f>ABS(sales_dataset[[#This Row],[Column4]])</f>
        <v>100</v>
      </c>
      <c r="O413">
        <f t="shared" si="6"/>
        <v>400</v>
      </c>
    </row>
    <row r="414" spans="1:15" x14ac:dyDescent="0.3">
      <c r="A414" s="1" t="s">
        <v>792</v>
      </c>
      <c r="B414" s="2">
        <v>45496</v>
      </c>
      <c r="C414" s="1" t="str">
        <f>IF(TRIM(sales_dataset[[#This Row],[SalesChannel]])="",sales_dataset!C415,PROPER(TRIM(sales_dataset[[#This Row],[SalesChannel]])))</f>
        <v>Online</v>
      </c>
      <c r="D414" s="1" t="s">
        <v>655</v>
      </c>
      <c r="E414" s="1" t="str">
        <f>IF(TRIM(sales_dataset[[#This Row],[CustomerName]])="",sales_dataset!F420, PROPER(TRIM(sales_dataset[[#This Row],[CustomerName]])))</f>
        <v>Priya</v>
      </c>
      <c r="F414" s="1" t="str">
        <f>IF(TRIM(sales_dataset[[#This Row],[City]])="", sales_dataset!$H$3, PROPER(TRIM(sales_dataset[[#This Row],[City]])))</f>
        <v>Hyderabad</v>
      </c>
      <c r="G414" t="str">
        <f>PROPER(sales_dataset[[#This Row],[Region cleaned]])</f>
        <v>South</v>
      </c>
      <c r="H414" t="s">
        <v>501</v>
      </c>
      <c r="I414" t="str">
        <f>IF(TRIM(sales_dataset[[#This Row],[SalespersonName]])="",I417,PROPER(TRIM(sales_dataset[[#This Row],[SalespersonName]])))</f>
        <v>Sam</v>
      </c>
      <c r="J414" s="1" t="s">
        <v>705</v>
      </c>
      <c r="K414" s="1" t="str">
        <f>PROPER(sales_dataset[[#This Row],[ProductCategory cleaned]])</f>
        <v>Home</v>
      </c>
      <c r="L414" s="1" t="str">
        <f>PROPER(sales_dataset[[#This Row],[ProductName]])</f>
        <v>Laptop</v>
      </c>
      <c r="M414">
        <f>ABS(sales_dataset!W:W)</f>
        <v>3</v>
      </c>
      <c r="N414">
        <f>ABS(sales_dataset[[#This Row],[Column4]])</f>
        <v>100</v>
      </c>
      <c r="O414">
        <f t="shared" si="6"/>
        <v>300</v>
      </c>
    </row>
    <row r="415" spans="1:15" x14ac:dyDescent="0.3">
      <c r="A415" s="1" t="s">
        <v>793</v>
      </c>
      <c r="B415" s="2">
        <v>45566</v>
      </c>
      <c r="C415" s="1" t="str">
        <f>IF(TRIM(sales_dataset[[#This Row],[SalesChannel]])="",sales_dataset!C416,PROPER(TRIM(sales_dataset[[#This Row],[SalesChannel]])))</f>
        <v>Online</v>
      </c>
      <c r="D415" s="1" t="s">
        <v>226</v>
      </c>
      <c r="E415" s="1" t="str">
        <f>IF(TRIM(sales_dataset[[#This Row],[CustomerName]])="",sales_dataset!F421, PROPER(TRIM(sales_dataset[[#This Row],[CustomerName]])))</f>
        <v>Sara</v>
      </c>
      <c r="F415" s="1" t="str">
        <f>IF(TRIM(sales_dataset[[#This Row],[City]])="", sales_dataset!$H$3, PROPER(TRIM(sales_dataset[[#This Row],[City]])))</f>
        <v>Hyderabad</v>
      </c>
      <c r="G415" t="str">
        <f>PROPER(sales_dataset[[#This Row],[Region cleaned]])</f>
        <v>West</v>
      </c>
      <c r="H415" t="s">
        <v>190</v>
      </c>
      <c r="I415" t="str">
        <f>IF(TRIM(sales_dataset[[#This Row],[SalespersonName]])="",I418,PROPER(TRIM(sales_dataset[[#This Row],[SalespersonName]])))</f>
        <v>Anita</v>
      </c>
      <c r="J415" s="1" t="s">
        <v>580</v>
      </c>
      <c r="K415" s="1" t="str">
        <f>PROPER(sales_dataset[[#This Row],[ProductCategory cleaned]])</f>
        <v>Clothing</v>
      </c>
      <c r="L415" s="1" t="str">
        <f>PROPER(sales_dataset[[#This Row],[ProductName]])</f>
        <v>Watch</v>
      </c>
      <c r="M415">
        <f>ABS(sales_dataset!W:W)</f>
        <v>3</v>
      </c>
      <c r="N415">
        <f>ABS(sales_dataset[[#This Row],[Column4]])</f>
        <v>2500</v>
      </c>
      <c r="O415">
        <f t="shared" si="6"/>
        <v>7500</v>
      </c>
    </row>
    <row r="416" spans="1:15" x14ac:dyDescent="0.3">
      <c r="A416" s="1" t="s">
        <v>794</v>
      </c>
      <c r="B416" s="2">
        <v>45461</v>
      </c>
      <c r="C416" s="1" t="str">
        <f>IF(TRIM(sales_dataset[[#This Row],[SalesChannel]])="",sales_dataset!C417,PROPER(TRIM(sales_dataset[[#This Row],[SalesChannel]])))</f>
        <v>Online</v>
      </c>
      <c r="D416" s="1" t="s">
        <v>176</v>
      </c>
      <c r="E416" s="1" t="str">
        <f>IF(TRIM(sales_dataset[[#This Row],[CustomerName]])="",sales_dataset!F422, PROPER(TRIM(sales_dataset[[#This Row],[CustomerName]])))</f>
        <v>Amit</v>
      </c>
      <c r="F416" s="1" t="str">
        <f>IF(TRIM(sales_dataset[[#This Row],[City]])="", sales_dataset!$H$3, PROPER(TRIM(sales_dataset[[#This Row],[City]])))</f>
        <v>Delhi</v>
      </c>
      <c r="G416" t="str">
        <f>PROPER(sales_dataset[[#This Row],[Region cleaned]])</f>
        <v>North</v>
      </c>
      <c r="H416" t="s">
        <v>140</v>
      </c>
      <c r="I416" t="str">
        <f>IF(TRIM(sales_dataset[[#This Row],[SalespersonName]])="",I419,PROPER(TRIM(sales_dataset[[#This Row],[SalespersonName]])))</f>
        <v>Raj</v>
      </c>
      <c r="J416" s="1" t="s">
        <v>137</v>
      </c>
      <c r="K416" s="1" t="str">
        <f>PROPER(sales_dataset[[#This Row],[ProductCategory cleaned]])</f>
        <v>Home</v>
      </c>
      <c r="L416" s="1" t="str">
        <f>PROPER(sales_dataset[[#This Row],[ProductName]])</f>
        <v/>
      </c>
      <c r="M416">
        <f>ABS(sales_dataset!W:W)</f>
        <v>1</v>
      </c>
      <c r="N416">
        <f>ABS(sales_dataset[[#This Row],[Column4]])</f>
        <v>2000</v>
      </c>
      <c r="O416">
        <f t="shared" si="6"/>
        <v>2000</v>
      </c>
    </row>
    <row r="417" spans="1:15" x14ac:dyDescent="0.3">
      <c r="A417" s="1" t="s">
        <v>795</v>
      </c>
      <c r="B417" s="2">
        <v>45306</v>
      </c>
      <c r="C417" s="1" t="str">
        <f>IF(TRIM(sales_dataset[[#This Row],[SalesChannel]])="",sales_dataset!C418,PROPER(TRIM(sales_dataset[[#This Row],[SalesChannel]])))</f>
        <v>Offline</v>
      </c>
      <c r="D417" s="1" t="s">
        <v>796</v>
      </c>
      <c r="E417" s="1" t="str">
        <f>IF(TRIM(sales_dataset[[#This Row],[CustomerName]])="",sales_dataset!F423, PROPER(TRIM(sales_dataset[[#This Row],[CustomerName]])))</f>
        <v>John</v>
      </c>
      <c r="F417" s="1" t="str">
        <f>IF(TRIM(sales_dataset[[#This Row],[City]])="", sales_dataset!$H$3, PROPER(TRIM(sales_dataset[[#This Row],[City]])))</f>
        <v>Mumbai</v>
      </c>
      <c r="G417" t="str">
        <f>PROPER(sales_dataset[[#This Row],[Region cleaned]])</f>
        <v>North</v>
      </c>
      <c r="H417" t="s">
        <v>47</v>
      </c>
      <c r="I417" t="str">
        <f>IF(TRIM(sales_dataset[[#This Row],[SalespersonName]])="",I420,PROPER(TRIM(sales_dataset[[#This Row],[SalespersonName]])))</f>
        <v>Raj</v>
      </c>
      <c r="J417" s="1" t="s">
        <v>408</v>
      </c>
      <c r="K417" s="1" t="str">
        <f>PROPER(sales_dataset[[#This Row],[ProductCategory cleaned]])</f>
        <v>Electronics</v>
      </c>
      <c r="L417" s="1" t="str">
        <f>PROPER(sales_dataset[[#This Row],[ProductName]])</f>
        <v>Laptop</v>
      </c>
      <c r="M417">
        <f>ABS(sales_dataset!W:W)</f>
        <v>1</v>
      </c>
      <c r="N417">
        <f>ABS(sales_dataset[[#This Row],[Column4]])</f>
        <v>2000</v>
      </c>
      <c r="O417">
        <f t="shared" si="6"/>
        <v>2000</v>
      </c>
    </row>
    <row r="418" spans="1:15" x14ac:dyDescent="0.3">
      <c r="A418" s="1" t="s">
        <v>797</v>
      </c>
      <c r="B418" s="2">
        <v>45351</v>
      </c>
      <c r="C418" s="1" t="str">
        <f>IF(TRIM(sales_dataset[[#This Row],[SalesChannel]])="",sales_dataset!C419,PROPER(TRIM(sales_dataset[[#This Row],[SalesChannel]])))</f>
        <v>Store</v>
      </c>
      <c r="D418" s="1" t="s">
        <v>281</v>
      </c>
      <c r="E418" s="1" t="str">
        <f>IF(TRIM(sales_dataset[[#This Row],[CustomerName]])="",sales_dataset!F424, PROPER(TRIM(sales_dataset[[#This Row],[CustomerName]])))</f>
        <v>Amit</v>
      </c>
      <c r="F418" s="1" t="str">
        <f>IF(TRIM(sales_dataset[[#This Row],[City]])="", sales_dataset!$H$3, PROPER(TRIM(sales_dataset[[#This Row],[City]])))</f>
        <v>Mumbai</v>
      </c>
      <c r="G418" t="str">
        <f>PROPER(sales_dataset[[#This Row],[Region cleaned]])</f>
        <v>North</v>
      </c>
      <c r="H418" t="s">
        <v>215</v>
      </c>
      <c r="I418" t="str">
        <f>IF(TRIM(sales_dataset[[#This Row],[SalespersonName]])="",I421,PROPER(TRIM(sales_dataset[[#This Row],[SalespersonName]])))</f>
        <v>Raj</v>
      </c>
      <c r="J418" s="1" t="s">
        <v>455</v>
      </c>
      <c r="K418" s="1" t="str">
        <f>PROPER(sales_dataset[[#This Row],[ProductCategory cleaned]])</f>
        <v>Electronics</v>
      </c>
      <c r="L418" s="1" t="str">
        <f>PROPER(sales_dataset[[#This Row],[ProductName]])</f>
        <v>Tv</v>
      </c>
      <c r="M418">
        <f>ABS(sales_dataset!W:W)</f>
        <v>1</v>
      </c>
      <c r="N418">
        <f>ABS(sales_dataset[[#This Row],[Column4]])</f>
        <v>1500</v>
      </c>
      <c r="O418">
        <f t="shared" si="6"/>
        <v>1500</v>
      </c>
    </row>
    <row r="419" spans="1:15" x14ac:dyDescent="0.3">
      <c r="A419" s="1" t="s">
        <v>798</v>
      </c>
      <c r="B419" s="2">
        <v>45425</v>
      </c>
      <c r="C419" s="1" t="str">
        <f>IF(TRIM(sales_dataset[[#This Row],[SalesChannel]])="",sales_dataset!C420,PROPER(TRIM(sales_dataset[[#This Row],[SalesChannel]])))</f>
        <v>Store</v>
      </c>
      <c r="D419" s="1" t="s">
        <v>186</v>
      </c>
      <c r="E419" s="1" t="str">
        <f>IF(TRIM(sales_dataset[[#This Row],[CustomerName]])="",sales_dataset!F425, PROPER(TRIM(sales_dataset[[#This Row],[CustomerName]])))</f>
        <v>Amit</v>
      </c>
      <c r="F419" s="1" t="str">
        <f>IF(TRIM(sales_dataset[[#This Row],[City]])="", sales_dataset!$H$3, PROPER(TRIM(sales_dataset[[#This Row],[City]])))</f>
        <v>Chennai</v>
      </c>
      <c r="G419" t="str">
        <f>PROPER(sales_dataset[[#This Row],[Region cleaned]])</f>
        <v>North</v>
      </c>
      <c r="H419" t="s">
        <v>140</v>
      </c>
      <c r="I419" t="str">
        <f>IF(TRIM(sales_dataset[[#This Row],[SalespersonName]])="",I422,PROPER(TRIM(sales_dataset[[#This Row],[SalespersonName]])))</f>
        <v>Kevin</v>
      </c>
      <c r="J419" s="1" t="s">
        <v>651</v>
      </c>
      <c r="K419" s="1" t="str">
        <f>PROPER(sales_dataset[[#This Row],[ProductCategory cleaned]])</f>
        <v>Clothing</v>
      </c>
      <c r="L419" s="1" t="str">
        <f>PROPER(sales_dataset[[#This Row],[ProductName]])</f>
        <v/>
      </c>
      <c r="M419">
        <f>ABS(sales_dataset!W:W)</f>
        <v>2</v>
      </c>
      <c r="N419">
        <f>ABS(sales_dataset[[#This Row],[Column4]])</f>
        <v>100</v>
      </c>
      <c r="O419">
        <f t="shared" si="6"/>
        <v>200</v>
      </c>
    </row>
    <row r="420" spans="1:15" x14ac:dyDescent="0.3">
      <c r="A420" s="1" t="s">
        <v>799</v>
      </c>
      <c r="B420" s="2">
        <v>45383</v>
      </c>
      <c r="C420" s="1" t="str">
        <f>IF(TRIM(sales_dataset[[#This Row],[SalesChannel]])="",sales_dataset!C421,PROPER(TRIM(sales_dataset[[#This Row],[SalesChannel]])))</f>
        <v>Online</v>
      </c>
      <c r="D420" s="1" t="s">
        <v>26</v>
      </c>
      <c r="E420" s="1" t="str">
        <f>IF(TRIM(sales_dataset[[#This Row],[CustomerName]])="",sales_dataset!F426, PROPER(TRIM(sales_dataset[[#This Row],[CustomerName]])))</f>
        <v>Priya</v>
      </c>
      <c r="F420" s="1" t="str">
        <f>IF(TRIM(sales_dataset[[#This Row],[City]])="", sales_dataset!$H$3, PROPER(TRIM(sales_dataset[[#This Row],[City]])))</f>
        <v>Delhi</v>
      </c>
      <c r="G420" t="str">
        <f>PROPER(sales_dataset[[#This Row],[Region cleaned]])</f>
        <v>South</v>
      </c>
      <c r="H420" t="s">
        <v>209</v>
      </c>
      <c r="I420" t="str">
        <f>IF(TRIM(sales_dataset[[#This Row],[SalespersonName]])="",I423,PROPER(TRIM(sales_dataset[[#This Row],[SalespersonName]])))</f>
        <v>Sam</v>
      </c>
      <c r="J420" s="1" t="s">
        <v>580</v>
      </c>
      <c r="K420" s="1" t="str">
        <f>PROPER(sales_dataset[[#This Row],[ProductCategory cleaned]])</f>
        <v>Clothing</v>
      </c>
      <c r="L420" s="1" t="str">
        <f>PROPER(sales_dataset[[#This Row],[ProductName]])</f>
        <v/>
      </c>
      <c r="M420">
        <f>ABS(sales_dataset!W:W)</f>
        <v>1</v>
      </c>
      <c r="N420">
        <f>ABS(sales_dataset[[#This Row],[Column4]])</f>
        <v>100</v>
      </c>
      <c r="O420">
        <f t="shared" si="6"/>
        <v>100</v>
      </c>
    </row>
    <row r="421" spans="1:15" x14ac:dyDescent="0.3">
      <c r="A421" s="1" t="s">
        <v>800</v>
      </c>
      <c r="B421" s="2">
        <v>45589</v>
      </c>
      <c r="C421" s="1" t="str">
        <f>IF(TRIM(sales_dataset[[#This Row],[SalesChannel]])="",sales_dataset!C422,PROPER(TRIM(sales_dataset[[#This Row],[SalesChannel]])))</f>
        <v>Online</v>
      </c>
      <c r="D421" s="1" t="s">
        <v>139</v>
      </c>
      <c r="E421" s="1" t="str">
        <f>IF(TRIM(sales_dataset[[#This Row],[CustomerName]])="",sales_dataset!F427, PROPER(TRIM(sales_dataset[[#This Row],[CustomerName]])))</f>
        <v>Sara</v>
      </c>
      <c r="F421" s="1" t="str">
        <f>IF(TRIM(sales_dataset[[#This Row],[City]])="", sales_dataset!$H$3, PROPER(TRIM(sales_dataset[[#This Row],[City]])))</f>
        <v>Hyderabad</v>
      </c>
      <c r="G421" t="str">
        <f>PROPER(sales_dataset[[#This Row],[Region cleaned]])</f>
        <v>East</v>
      </c>
      <c r="H421" t="s">
        <v>173</v>
      </c>
      <c r="I421" t="str">
        <f>IF(TRIM(sales_dataset[[#This Row],[SalespersonName]])="",I424,PROPER(TRIM(sales_dataset[[#This Row],[SalespersonName]])))</f>
        <v>Raj</v>
      </c>
      <c r="J421" s="1" t="s">
        <v>204</v>
      </c>
      <c r="K421" s="1" t="str">
        <f>PROPER(sales_dataset[[#This Row],[ProductCategory cleaned]])</f>
        <v>Clothing</v>
      </c>
      <c r="L421" s="1" t="str">
        <f>PROPER(sales_dataset[[#This Row],[ProductName]])</f>
        <v/>
      </c>
      <c r="M421">
        <f>ABS(sales_dataset!W:W)</f>
        <v>4</v>
      </c>
      <c r="N421">
        <f>ABS(sales_dataset[[#This Row],[Column4]])</f>
        <v>2000</v>
      </c>
      <c r="O421">
        <f t="shared" si="6"/>
        <v>8000</v>
      </c>
    </row>
    <row r="422" spans="1:15" x14ac:dyDescent="0.3">
      <c r="A422" s="1" t="s">
        <v>801</v>
      </c>
      <c r="B422" s="2">
        <v>45427</v>
      </c>
      <c r="C422" s="1" t="str">
        <f>IF(TRIM(sales_dataset[[#This Row],[SalesChannel]])="",sales_dataset!C423,PROPER(TRIM(sales_dataset[[#This Row],[SalesChannel]])))</f>
        <v>Online</v>
      </c>
      <c r="D422" s="1" t="s">
        <v>429</v>
      </c>
      <c r="E422" s="1" t="str">
        <f>IF(TRIM(sales_dataset[[#This Row],[CustomerName]])="",sales_dataset!F428, PROPER(TRIM(sales_dataset[[#This Row],[CustomerName]])))</f>
        <v>Amit</v>
      </c>
      <c r="F422" s="1" t="str">
        <f>IF(TRIM(sales_dataset[[#This Row],[City]])="", sales_dataset!$H$3, PROPER(TRIM(sales_dataset[[#This Row],[City]])))</f>
        <v>Mumbai</v>
      </c>
      <c r="G422" t="str">
        <f>PROPER(sales_dataset[[#This Row],[Region cleaned]])</f>
        <v>South</v>
      </c>
      <c r="H422" t="s">
        <v>350</v>
      </c>
      <c r="I422" t="str">
        <f>IF(TRIM(sales_dataset[[#This Row],[SalespersonName]])="",I425,PROPER(TRIM(sales_dataset[[#This Row],[SalespersonName]])))</f>
        <v>Sam</v>
      </c>
      <c r="J422" s="1" t="s">
        <v>144</v>
      </c>
      <c r="K422" s="1" t="str">
        <f>PROPER(sales_dataset[[#This Row],[ProductCategory cleaned]])</f>
        <v>Electronics</v>
      </c>
      <c r="L422" s="1" t="str">
        <f>PROPER(sales_dataset[[#This Row],[ProductName]])</f>
        <v/>
      </c>
      <c r="M422">
        <f>ABS(sales_dataset!W:W)</f>
        <v>3</v>
      </c>
      <c r="N422">
        <f>ABS(sales_dataset[[#This Row],[Column4]])</f>
        <v>2500</v>
      </c>
      <c r="O422">
        <f t="shared" si="6"/>
        <v>7500</v>
      </c>
    </row>
    <row r="423" spans="1:15" x14ac:dyDescent="0.3">
      <c r="A423" s="1" t="s">
        <v>802</v>
      </c>
      <c r="B423" s="2">
        <v>45311</v>
      </c>
      <c r="C423" s="1" t="str">
        <f>IF(TRIM(sales_dataset[[#This Row],[SalesChannel]])="",sales_dataset!C424,PROPER(TRIM(sales_dataset[[#This Row],[SalesChannel]])))</f>
        <v>Offline</v>
      </c>
      <c r="D423" s="1" t="s">
        <v>718</v>
      </c>
      <c r="E423" s="1" t="str">
        <f>IF(TRIM(sales_dataset[[#This Row],[CustomerName]])="",sales_dataset!F429, PROPER(TRIM(sales_dataset[[#This Row],[CustomerName]])))</f>
        <v>Amit</v>
      </c>
      <c r="F423" s="1" t="str">
        <f>IF(TRIM(sales_dataset[[#This Row],[City]])="", sales_dataset!$H$3, PROPER(TRIM(sales_dataset[[#This Row],[City]])))</f>
        <v>Delhi</v>
      </c>
      <c r="G423" t="str">
        <f>PROPER(sales_dataset[[#This Row],[Region cleaned]])</f>
        <v>South</v>
      </c>
      <c r="H423" t="s">
        <v>74</v>
      </c>
      <c r="I423" t="str">
        <f>IF(TRIM(sales_dataset[[#This Row],[SalespersonName]])="",I426,PROPER(TRIM(sales_dataset[[#This Row],[SalespersonName]])))</f>
        <v>Sam</v>
      </c>
      <c r="J423" s="1" t="s">
        <v>219</v>
      </c>
      <c r="K423" s="1" t="str">
        <f>PROPER(sales_dataset[[#This Row],[ProductCategory cleaned]])</f>
        <v>Home</v>
      </c>
      <c r="L423" s="1" t="str">
        <f>PROPER(sales_dataset[[#This Row],[ProductName]])</f>
        <v>Watch</v>
      </c>
      <c r="M423">
        <f>ABS(sales_dataset!W:W)</f>
        <v>5</v>
      </c>
      <c r="N423">
        <f>ABS(sales_dataset[[#This Row],[Column4]])</f>
        <v>2500</v>
      </c>
      <c r="O423">
        <f t="shared" si="6"/>
        <v>12500</v>
      </c>
    </row>
    <row r="424" spans="1:15" x14ac:dyDescent="0.3">
      <c r="A424" s="1" t="s">
        <v>803</v>
      </c>
      <c r="B424" s="2">
        <v>45347</v>
      </c>
      <c r="C424" s="1" t="str">
        <f>IF(TRIM(sales_dataset[[#This Row],[SalesChannel]])="",sales_dataset!C425,PROPER(TRIM(sales_dataset[[#This Row],[SalesChannel]])))</f>
        <v>Store</v>
      </c>
      <c r="D424" s="1" t="s">
        <v>804</v>
      </c>
      <c r="E424" s="1" t="str">
        <f>IF(TRIM(sales_dataset[[#This Row],[CustomerName]])="",sales_dataset!F430, PROPER(TRIM(sales_dataset[[#This Row],[CustomerName]])))</f>
        <v>John</v>
      </c>
      <c r="F424" s="1" t="str">
        <f>IF(TRIM(sales_dataset[[#This Row],[City]])="", sales_dataset!$H$3, PROPER(TRIM(sales_dataset[[#This Row],[City]])))</f>
        <v>Bengaluru</v>
      </c>
      <c r="G424" t="str">
        <f>PROPER(sales_dataset[[#This Row],[Region cleaned]])</f>
        <v>East</v>
      </c>
      <c r="H424" t="s">
        <v>350</v>
      </c>
      <c r="I424" t="str">
        <f>IF(TRIM(sales_dataset[[#This Row],[SalespersonName]])="",I427,PROPER(TRIM(sales_dataset[[#This Row],[SalespersonName]])))</f>
        <v>Kevin</v>
      </c>
      <c r="J424" s="1" t="s">
        <v>308</v>
      </c>
      <c r="K424" s="1" t="str">
        <f>PROPER(sales_dataset[[#This Row],[ProductCategory cleaned]])</f>
        <v>Home</v>
      </c>
      <c r="L424" s="1" t="str">
        <f>PROPER(sales_dataset[[#This Row],[ProductName]])</f>
        <v>Sofa</v>
      </c>
      <c r="M424">
        <f>ABS(sales_dataset!W:W)</f>
        <v>1</v>
      </c>
      <c r="N424">
        <f>ABS(sales_dataset[[#This Row],[Column4]])</f>
        <v>2500</v>
      </c>
      <c r="O424">
        <f t="shared" si="6"/>
        <v>2500</v>
      </c>
    </row>
    <row r="425" spans="1:15" x14ac:dyDescent="0.3">
      <c r="A425" s="1" t="s">
        <v>805</v>
      </c>
      <c r="B425" s="2">
        <v>45514</v>
      </c>
      <c r="C425" s="1" t="str">
        <f>IF(TRIM(sales_dataset[[#This Row],[SalesChannel]])="",sales_dataset!C426,PROPER(TRIM(sales_dataset[[#This Row],[SalesChannel]])))</f>
        <v>Store</v>
      </c>
      <c r="D425" s="1" t="s">
        <v>260</v>
      </c>
      <c r="E425" s="1" t="str">
        <f>IF(TRIM(sales_dataset[[#This Row],[CustomerName]])="",sales_dataset!F431, PROPER(TRIM(sales_dataset[[#This Row],[CustomerName]])))</f>
        <v>David</v>
      </c>
      <c r="F425" s="1" t="str">
        <f>IF(TRIM(sales_dataset[[#This Row],[City]])="", sales_dataset!$H$3, PROPER(TRIM(sales_dataset[[#This Row],[City]])))</f>
        <v>Hyderabad</v>
      </c>
      <c r="G425" t="str">
        <f>PROPER(sales_dataset[[#This Row],[Region cleaned]])</f>
        <v>East</v>
      </c>
      <c r="H425" t="s">
        <v>343</v>
      </c>
      <c r="I425" t="str">
        <f>IF(TRIM(sales_dataset[[#This Row],[SalespersonName]])="",I428,PROPER(TRIM(sales_dataset[[#This Row],[SalespersonName]])))</f>
        <v>Anita</v>
      </c>
      <c r="J425" s="1" t="s">
        <v>234</v>
      </c>
      <c r="K425" s="1" t="str">
        <f>PROPER(sales_dataset[[#This Row],[ProductCategory cleaned]])</f>
        <v>Electronics</v>
      </c>
      <c r="L425" s="1" t="str">
        <f>PROPER(sales_dataset[[#This Row],[ProductName]])</f>
        <v>Shirt</v>
      </c>
      <c r="M425">
        <f>ABS(sales_dataset!W:W)</f>
        <v>5</v>
      </c>
      <c r="N425">
        <f>ABS(sales_dataset[[#This Row],[Column4]])</f>
        <v>2000</v>
      </c>
      <c r="O425">
        <f t="shared" si="6"/>
        <v>10000</v>
      </c>
    </row>
    <row r="426" spans="1:15" x14ac:dyDescent="0.3">
      <c r="A426" s="1" t="s">
        <v>806</v>
      </c>
      <c r="B426" s="2">
        <v>45468</v>
      </c>
      <c r="C426" s="1" t="str">
        <f>IF(TRIM(sales_dataset[[#This Row],[SalesChannel]])="",sales_dataset!C427,PROPER(TRIM(sales_dataset[[#This Row],[SalesChannel]])))</f>
        <v>Online</v>
      </c>
      <c r="D426" s="1" t="s">
        <v>232</v>
      </c>
      <c r="E426" s="1" t="str">
        <f>IF(TRIM(sales_dataset[[#This Row],[CustomerName]])="",sales_dataset!F432, PROPER(TRIM(sales_dataset[[#This Row],[CustomerName]])))</f>
        <v>John</v>
      </c>
      <c r="F426" s="1" t="str">
        <f>IF(TRIM(sales_dataset[[#This Row],[City]])="", sales_dataset!$H$3, PROPER(TRIM(sales_dataset[[#This Row],[City]])))</f>
        <v>Chennai</v>
      </c>
      <c r="G426" t="str">
        <f>PROPER(sales_dataset[[#This Row],[Region cleaned]])</f>
        <v>South</v>
      </c>
      <c r="H426" t="s">
        <v>247</v>
      </c>
      <c r="I426" t="str">
        <f>IF(TRIM(sales_dataset[[#This Row],[SalespersonName]])="",I429,PROPER(TRIM(sales_dataset[[#This Row],[SalespersonName]])))</f>
        <v>Raj</v>
      </c>
      <c r="J426" s="1" t="s">
        <v>580</v>
      </c>
      <c r="K426" s="1" t="str">
        <f>PROPER(sales_dataset[[#This Row],[ProductCategory cleaned]])</f>
        <v>Home</v>
      </c>
      <c r="L426" s="1" t="str">
        <f>PROPER(sales_dataset[[#This Row],[ProductName]])</f>
        <v>Shirt</v>
      </c>
      <c r="M426">
        <f>ABS(sales_dataset!W:W)</f>
        <v>5</v>
      </c>
      <c r="N426">
        <f>ABS(sales_dataset[[#This Row],[Column4]])</f>
        <v>2000</v>
      </c>
      <c r="O426">
        <f t="shared" si="6"/>
        <v>10000</v>
      </c>
    </row>
    <row r="427" spans="1:15" x14ac:dyDescent="0.3">
      <c r="A427" s="1" t="s">
        <v>807</v>
      </c>
      <c r="B427" s="2">
        <v>45452</v>
      </c>
      <c r="C427" s="1" t="str">
        <f>IF(TRIM(sales_dataset[[#This Row],[SalesChannel]])="",sales_dataset!C428,PROPER(TRIM(sales_dataset[[#This Row],[SalesChannel]])))</f>
        <v>Online</v>
      </c>
      <c r="D427" s="1" t="s">
        <v>270</v>
      </c>
      <c r="E427" s="1" t="str">
        <f>IF(TRIM(sales_dataset[[#This Row],[CustomerName]])="",sales_dataset!F433, PROPER(TRIM(sales_dataset[[#This Row],[CustomerName]])))</f>
        <v>Sara</v>
      </c>
      <c r="F427" s="1" t="str">
        <f>IF(TRIM(sales_dataset[[#This Row],[City]])="", sales_dataset!$H$3, PROPER(TRIM(sales_dataset[[#This Row],[City]])))</f>
        <v>Hyderabad</v>
      </c>
      <c r="G427" t="str">
        <f>PROPER(sales_dataset[[#This Row],[Region cleaned]])</f>
        <v>East</v>
      </c>
      <c r="H427" t="s">
        <v>282</v>
      </c>
      <c r="I427" t="str">
        <f>IF(TRIM(sales_dataset[[#This Row],[SalespersonName]])="",I430,PROPER(TRIM(sales_dataset[[#This Row],[SalespersonName]])))</f>
        <v>Kevin</v>
      </c>
      <c r="J427" s="1" t="s">
        <v>242</v>
      </c>
      <c r="K427" s="1" t="str">
        <f>PROPER(sales_dataset[[#This Row],[ProductCategory cleaned]])</f>
        <v>Electronics</v>
      </c>
      <c r="L427" s="1" t="str">
        <f>PROPER(sales_dataset[[#This Row],[ProductName]])</f>
        <v>Shirt</v>
      </c>
      <c r="M427">
        <f>ABS(sales_dataset!W:W)</f>
        <v>4</v>
      </c>
      <c r="N427">
        <f>ABS(sales_dataset[[#This Row],[Column4]])</f>
        <v>2500</v>
      </c>
      <c r="O427">
        <f t="shared" si="6"/>
        <v>10000</v>
      </c>
    </row>
    <row r="428" spans="1:15" x14ac:dyDescent="0.3">
      <c r="A428" s="1" t="s">
        <v>808</v>
      </c>
      <c r="B428" s="2">
        <v>45515</v>
      </c>
      <c r="C428" s="1" t="str">
        <f>IF(TRIM(sales_dataset[[#This Row],[SalesChannel]])="",sales_dataset!C429,PROPER(TRIM(sales_dataset[[#This Row],[SalesChannel]])))</f>
        <v>Online</v>
      </c>
      <c r="D428" s="1" t="s">
        <v>697</v>
      </c>
      <c r="E428" s="1" t="str">
        <f>IF(TRIM(sales_dataset[[#This Row],[CustomerName]])="",sales_dataset!F434, PROPER(TRIM(sales_dataset[[#This Row],[CustomerName]])))</f>
        <v>Sara</v>
      </c>
      <c r="F428" s="1" t="str">
        <f>IF(TRIM(sales_dataset[[#This Row],[City]])="", sales_dataset!$H$3, PROPER(TRIM(sales_dataset[[#This Row],[City]])))</f>
        <v>Delhi</v>
      </c>
      <c r="G428" t="str">
        <f>PROPER(sales_dataset[[#This Row],[Region cleaned]])</f>
        <v>North</v>
      </c>
      <c r="H428" t="s">
        <v>125</v>
      </c>
      <c r="I428" t="str">
        <f>IF(TRIM(sales_dataset[[#This Row],[SalespersonName]])="",I431,PROPER(TRIM(sales_dataset[[#This Row],[SalespersonName]])))</f>
        <v>Anita</v>
      </c>
      <c r="J428" s="1" t="s">
        <v>566</v>
      </c>
      <c r="K428" s="1" t="str">
        <f>PROPER(sales_dataset[[#This Row],[ProductCategory cleaned]])</f>
        <v>Home</v>
      </c>
      <c r="L428" s="1" t="str">
        <f>PROPER(sales_dataset[[#This Row],[ProductName]])</f>
        <v>Laptop</v>
      </c>
      <c r="M428">
        <f>ABS(sales_dataset!W:W)</f>
        <v>1</v>
      </c>
      <c r="N428">
        <f>ABS(sales_dataset[[#This Row],[Column4]])</f>
        <v>1500</v>
      </c>
      <c r="O428">
        <f t="shared" si="6"/>
        <v>1500</v>
      </c>
    </row>
    <row r="429" spans="1:15" x14ac:dyDescent="0.3">
      <c r="A429" s="1" t="s">
        <v>809</v>
      </c>
      <c r="B429" s="2">
        <v>45553</v>
      </c>
      <c r="C429" s="1" t="str">
        <f>IF(TRIM(sales_dataset[[#This Row],[SalesChannel]])="",sales_dataset!C430,PROPER(TRIM(sales_dataset[[#This Row],[SalesChannel]])))</f>
        <v>Offline</v>
      </c>
      <c r="D429" s="1" t="s">
        <v>473</v>
      </c>
      <c r="E429" s="1" t="str">
        <f>IF(TRIM(sales_dataset[[#This Row],[CustomerName]])="",sales_dataset!F435, PROPER(TRIM(sales_dataset[[#This Row],[CustomerName]])))</f>
        <v>Priya</v>
      </c>
      <c r="F429" s="1" t="str">
        <f>IF(TRIM(sales_dataset[[#This Row],[City]])="", sales_dataset!$H$3, PROPER(TRIM(sales_dataset[[#This Row],[City]])))</f>
        <v>Mumbai</v>
      </c>
      <c r="G429" t="str">
        <f>PROPER(sales_dataset[[#This Row],[Region cleaned]])</f>
        <v>East</v>
      </c>
      <c r="H429" t="s">
        <v>61</v>
      </c>
      <c r="I429" t="str">
        <f>IF(TRIM(sales_dataset[[#This Row],[SalespersonName]])="",I432,PROPER(TRIM(sales_dataset[[#This Row],[SalespersonName]])))</f>
        <v>Anita</v>
      </c>
      <c r="J429" s="1" t="s">
        <v>311</v>
      </c>
      <c r="K429" s="1" t="str">
        <f>PROPER(sales_dataset[[#This Row],[ProductCategory cleaned]])</f>
        <v>Electronics</v>
      </c>
      <c r="L429" s="1" t="str">
        <f>PROPER(sales_dataset[[#This Row],[ProductName]])</f>
        <v>Shirt</v>
      </c>
      <c r="M429">
        <f>ABS(sales_dataset!W:W)</f>
        <v>1</v>
      </c>
      <c r="N429">
        <f>ABS(sales_dataset[[#This Row],[Column4]])</f>
        <v>500</v>
      </c>
      <c r="O429">
        <f t="shared" si="6"/>
        <v>500</v>
      </c>
    </row>
    <row r="430" spans="1:15" x14ac:dyDescent="0.3">
      <c r="A430" s="1" t="s">
        <v>810</v>
      </c>
      <c r="B430" s="2">
        <v>45351</v>
      </c>
      <c r="C430" s="1" t="str">
        <f>IF(TRIM(sales_dataset[[#This Row],[SalesChannel]])="",sales_dataset!C431,PROPER(TRIM(sales_dataset[[#This Row],[SalesChannel]])))</f>
        <v>Store</v>
      </c>
      <c r="D430" s="1" t="s">
        <v>117</v>
      </c>
      <c r="E430" s="1" t="str">
        <f>IF(TRIM(sales_dataset[[#This Row],[CustomerName]])="",sales_dataset!F436, PROPER(TRIM(sales_dataset[[#This Row],[CustomerName]])))</f>
        <v>Priya</v>
      </c>
      <c r="F430" s="1" t="str">
        <f>IF(TRIM(sales_dataset[[#This Row],[City]])="", sales_dataset!$H$3, PROPER(TRIM(sales_dataset[[#This Row],[City]])))</f>
        <v>Chennai</v>
      </c>
      <c r="G430" t="str">
        <f>PROPER(sales_dataset[[#This Row],[Region cleaned]])</f>
        <v>North</v>
      </c>
      <c r="H430" t="s">
        <v>93</v>
      </c>
      <c r="I430" t="str">
        <f>IF(TRIM(sales_dataset[[#This Row],[SalespersonName]])="",I433,PROPER(TRIM(sales_dataset[[#This Row],[SalespersonName]])))</f>
        <v>Raj</v>
      </c>
      <c r="J430" s="1" t="s">
        <v>421</v>
      </c>
      <c r="K430" s="1" t="str">
        <f>PROPER(sales_dataset[[#This Row],[ProductCategory cleaned]])</f>
        <v>Home</v>
      </c>
      <c r="L430" s="1" t="str">
        <f>PROPER(sales_dataset[[#This Row],[ProductName]])</f>
        <v>Tv</v>
      </c>
      <c r="M430">
        <f>ABS(sales_dataset!W:W)</f>
        <v>3</v>
      </c>
      <c r="N430">
        <f>ABS(sales_dataset[[#This Row],[Column4]])</f>
        <v>1500</v>
      </c>
      <c r="O430">
        <f t="shared" si="6"/>
        <v>4500</v>
      </c>
    </row>
    <row r="431" spans="1:15" x14ac:dyDescent="0.3">
      <c r="A431" s="1" t="s">
        <v>811</v>
      </c>
      <c r="B431" s="2">
        <v>45489</v>
      </c>
      <c r="C431" s="1" t="str">
        <f>IF(TRIM(sales_dataset[[#This Row],[SalesChannel]])="",sales_dataset!C432,PROPER(TRIM(sales_dataset[[#This Row],[SalesChannel]])))</f>
        <v>Store</v>
      </c>
      <c r="D431" s="1" t="s">
        <v>743</v>
      </c>
      <c r="E431" s="1" t="str">
        <f>IF(TRIM(sales_dataset[[#This Row],[CustomerName]])="",sales_dataset!F437, PROPER(TRIM(sales_dataset[[#This Row],[CustomerName]])))</f>
        <v>Priya</v>
      </c>
      <c r="F431" s="1" t="str">
        <f>IF(TRIM(sales_dataset[[#This Row],[City]])="", sales_dataset!$H$3, PROPER(TRIM(sales_dataset[[#This Row],[City]])))</f>
        <v>Mumbai</v>
      </c>
      <c r="G431" t="str">
        <f>PROPER(sales_dataset[[#This Row],[Region cleaned]])</f>
        <v>East</v>
      </c>
      <c r="H431" t="s">
        <v>20</v>
      </c>
      <c r="I431" t="str">
        <f>IF(TRIM(sales_dataset[[#This Row],[SalespersonName]])="",I434,PROPER(TRIM(sales_dataset[[#This Row],[SalespersonName]])))</f>
        <v>Sam</v>
      </c>
      <c r="J431" s="1" t="s">
        <v>347</v>
      </c>
      <c r="K431" s="1" t="str">
        <f>PROPER(sales_dataset[[#This Row],[ProductCategory cleaned]])</f>
        <v>Home</v>
      </c>
      <c r="L431" s="1" t="str">
        <f>PROPER(sales_dataset[[#This Row],[ProductName]])</f>
        <v>Shirt</v>
      </c>
      <c r="M431">
        <f>ABS(sales_dataset!W:W)</f>
        <v>2</v>
      </c>
      <c r="N431">
        <f>ABS(sales_dataset[[#This Row],[Column4]])</f>
        <v>100</v>
      </c>
      <c r="O431">
        <f t="shared" si="6"/>
        <v>200</v>
      </c>
    </row>
    <row r="432" spans="1:15" x14ac:dyDescent="0.3">
      <c r="A432" s="1" t="s">
        <v>812</v>
      </c>
      <c r="B432" s="2">
        <v>45587</v>
      </c>
      <c r="C432" s="1" t="str">
        <f>IF(TRIM(sales_dataset[[#This Row],[SalesChannel]])="",sales_dataset!C433,PROPER(TRIM(sales_dataset[[#This Row],[SalesChannel]])))</f>
        <v>Online</v>
      </c>
      <c r="D432" s="1" t="s">
        <v>525</v>
      </c>
      <c r="E432" s="1" t="str">
        <f>IF(TRIM(sales_dataset[[#This Row],[CustomerName]])="",sales_dataset!F438, PROPER(TRIM(sales_dataset[[#This Row],[CustomerName]])))</f>
        <v>Priya</v>
      </c>
      <c r="F432" s="1" t="str">
        <f>IF(TRIM(sales_dataset[[#This Row],[City]])="", sales_dataset!$H$3, PROPER(TRIM(sales_dataset[[#This Row],[City]])))</f>
        <v>Delhi</v>
      </c>
      <c r="G432" t="str">
        <f>PROPER(sales_dataset[[#This Row],[Region cleaned]])</f>
        <v>South</v>
      </c>
      <c r="H432" t="s">
        <v>152</v>
      </c>
      <c r="I432" t="str">
        <f>IF(TRIM(sales_dataset[[#This Row],[SalespersonName]])="",I435,PROPER(TRIM(sales_dataset[[#This Row],[SalespersonName]])))</f>
        <v>Sam</v>
      </c>
      <c r="J432" s="1" t="s">
        <v>370</v>
      </c>
      <c r="K432" s="1" t="str">
        <f>PROPER(sales_dataset[[#This Row],[ProductCategory cleaned]])</f>
        <v>Home</v>
      </c>
      <c r="L432" s="1" t="str">
        <f>PROPER(sales_dataset[[#This Row],[ProductName]])</f>
        <v>Sofa</v>
      </c>
      <c r="M432">
        <f>ABS(sales_dataset!W:W)</f>
        <v>4</v>
      </c>
      <c r="N432">
        <f>ABS(sales_dataset[[#This Row],[Column4]])</f>
        <v>2000</v>
      </c>
      <c r="O432">
        <f t="shared" si="6"/>
        <v>8000</v>
      </c>
    </row>
    <row r="433" spans="1:15" x14ac:dyDescent="0.3">
      <c r="A433" s="1" t="s">
        <v>813</v>
      </c>
      <c r="B433" s="2">
        <v>45389</v>
      </c>
      <c r="C433" s="1" t="str">
        <f>IF(TRIM(sales_dataset[[#This Row],[SalesChannel]])="",sales_dataset!C434,PROPER(TRIM(sales_dataset[[#This Row],[SalesChannel]])))</f>
        <v>Online</v>
      </c>
      <c r="D433" s="1" t="s">
        <v>260</v>
      </c>
      <c r="E433" s="1" t="str">
        <f>IF(TRIM(sales_dataset[[#This Row],[CustomerName]])="",sales_dataset!F439, PROPER(TRIM(sales_dataset[[#This Row],[CustomerName]])))</f>
        <v>David</v>
      </c>
      <c r="F433" s="1" t="str">
        <f>IF(TRIM(sales_dataset[[#This Row],[City]])="", sales_dataset!$H$3, PROPER(TRIM(sales_dataset[[#This Row],[City]])))</f>
        <v>Delhi</v>
      </c>
      <c r="G433" t="str">
        <f>PROPER(sales_dataset[[#This Row],[Region cleaned]])</f>
        <v>East</v>
      </c>
      <c r="H433" t="s">
        <v>136</v>
      </c>
      <c r="I433" t="str">
        <f>IF(TRIM(sales_dataset[[#This Row],[SalespersonName]])="",I436,PROPER(TRIM(sales_dataset[[#This Row],[SalespersonName]])))</f>
        <v>Megha</v>
      </c>
      <c r="J433" s="1" t="s">
        <v>206</v>
      </c>
      <c r="K433" s="1" t="str">
        <f>PROPER(sales_dataset[[#This Row],[ProductCategory cleaned]])</f>
        <v>Clothing</v>
      </c>
      <c r="L433" s="1" t="str">
        <f>PROPER(sales_dataset[[#This Row],[ProductName]])</f>
        <v>Shirt</v>
      </c>
      <c r="M433">
        <f>ABS(sales_dataset!W:W)</f>
        <v>1</v>
      </c>
      <c r="N433">
        <f>ABS(sales_dataset[[#This Row],[Column4]])</f>
        <v>500</v>
      </c>
      <c r="O433">
        <f t="shared" si="6"/>
        <v>500</v>
      </c>
    </row>
    <row r="434" spans="1:15" x14ac:dyDescent="0.3">
      <c r="A434" s="1" t="s">
        <v>814</v>
      </c>
      <c r="B434" s="2">
        <v>45422</v>
      </c>
      <c r="C434" s="1" t="str">
        <f>IF(TRIM(sales_dataset[[#This Row],[SalesChannel]])="",sales_dataset!C435,PROPER(TRIM(sales_dataset[[#This Row],[SalesChannel]])))</f>
        <v>Online</v>
      </c>
      <c r="D434" s="1" t="s">
        <v>785</v>
      </c>
      <c r="E434" s="1" t="str">
        <f>IF(TRIM(sales_dataset[[#This Row],[CustomerName]])="",sales_dataset!F440, PROPER(TRIM(sales_dataset[[#This Row],[CustomerName]])))</f>
        <v>Sara</v>
      </c>
      <c r="F434" s="1" t="str">
        <f>IF(TRIM(sales_dataset[[#This Row],[City]])="", sales_dataset!$H$3, PROPER(TRIM(sales_dataset[[#This Row],[City]])))</f>
        <v>Bengaluru</v>
      </c>
      <c r="G434" t="str">
        <f>PROPER(sales_dataset[[#This Row],[Region cleaned]])</f>
        <v>North</v>
      </c>
      <c r="H434" t="s">
        <v>125</v>
      </c>
      <c r="I434" t="str">
        <f>IF(TRIM(sales_dataset[[#This Row],[SalespersonName]])="",I437,PROPER(TRIM(sales_dataset[[#This Row],[SalespersonName]])))</f>
        <v>Sam</v>
      </c>
      <c r="J434" s="1" t="s">
        <v>265</v>
      </c>
      <c r="K434" s="1" t="str">
        <f>PROPER(sales_dataset[[#This Row],[ProductCategory cleaned]])</f>
        <v>Clothing</v>
      </c>
      <c r="L434" s="1" t="str">
        <f>PROPER(sales_dataset[[#This Row],[ProductName]])</f>
        <v>Shirt</v>
      </c>
      <c r="M434">
        <f>ABS(sales_dataset!W:W)</f>
        <v>1</v>
      </c>
      <c r="N434">
        <f>ABS(sales_dataset[[#This Row],[Column4]])</f>
        <v>2000</v>
      </c>
      <c r="O434">
        <f t="shared" si="6"/>
        <v>2000</v>
      </c>
    </row>
    <row r="435" spans="1:15" x14ac:dyDescent="0.3">
      <c r="A435" s="1" t="s">
        <v>815</v>
      </c>
      <c r="B435" s="2">
        <v>45314</v>
      </c>
      <c r="C435" s="1" t="str">
        <f>IF(TRIM(sales_dataset[[#This Row],[SalesChannel]])="",sales_dataset!C436,PROPER(TRIM(sales_dataset[[#This Row],[SalesChannel]])))</f>
        <v>Offline</v>
      </c>
      <c r="D435" s="1" t="s">
        <v>214</v>
      </c>
      <c r="E435" s="1" t="str">
        <f>IF(TRIM(sales_dataset[[#This Row],[CustomerName]])="",sales_dataset!F441, PROPER(TRIM(sales_dataset[[#This Row],[CustomerName]])))</f>
        <v>David</v>
      </c>
      <c r="F435" s="1" t="str">
        <f>IF(TRIM(sales_dataset[[#This Row],[City]])="", sales_dataset!$H$3, PROPER(TRIM(sales_dataset[[#This Row],[City]])))</f>
        <v>Mumbai</v>
      </c>
      <c r="G435" t="str">
        <f>PROPER(sales_dataset[[#This Row],[Region cleaned]])</f>
        <v>East</v>
      </c>
      <c r="H435" t="s">
        <v>224</v>
      </c>
      <c r="I435" t="str">
        <f>IF(TRIM(sales_dataset[[#This Row],[SalespersonName]])="",I438,PROPER(TRIM(sales_dataset[[#This Row],[SalespersonName]])))</f>
        <v>Sam</v>
      </c>
      <c r="J435" s="1" t="s">
        <v>417</v>
      </c>
      <c r="K435" s="1" t="str">
        <f>PROPER(sales_dataset[[#This Row],[ProductCategory cleaned]])</f>
        <v>Electronics</v>
      </c>
      <c r="L435" s="1" t="str">
        <f>PROPER(sales_dataset[[#This Row],[ProductName]])</f>
        <v>Sofa</v>
      </c>
      <c r="M435">
        <f>ABS(sales_dataset!W:W)</f>
        <v>1</v>
      </c>
      <c r="N435">
        <f>ABS(sales_dataset[[#This Row],[Column4]])</f>
        <v>1500</v>
      </c>
      <c r="O435">
        <f t="shared" si="6"/>
        <v>1500</v>
      </c>
    </row>
    <row r="436" spans="1:15" x14ac:dyDescent="0.3">
      <c r="A436" s="1" t="s">
        <v>816</v>
      </c>
      <c r="B436" s="2">
        <v>45515</v>
      </c>
      <c r="C436" s="1" t="str">
        <f>IF(TRIM(sales_dataset[[#This Row],[SalesChannel]])="",sales_dataset!C437,PROPER(TRIM(sales_dataset[[#This Row],[SalesChannel]])))</f>
        <v>Store</v>
      </c>
      <c r="D436" s="1" t="s">
        <v>691</v>
      </c>
      <c r="E436" s="1" t="str">
        <f>IF(TRIM(sales_dataset[[#This Row],[CustomerName]])="",sales_dataset!F442, PROPER(TRIM(sales_dataset[[#This Row],[CustomerName]])))</f>
        <v>Priya</v>
      </c>
      <c r="F436" s="1" t="str">
        <f>IF(TRIM(sales_dataset[[#This Row],[City]])="", sales_dataset!$H$3, PROPER(TRIM(sales_dataset[[#This Row],[City]])))</f>
        <v>Mumbai</v>
      </c>
      <c r="G436" t="str">
        <f>PROPER(sales_dataset[[#This Row],[Region cleaned]])</f>
        <v>South</v>
      </c>
      <c r="H436" t="s">
        <v>85</v>
      </c>
      <c r="I436" t="str">
        <f>IF(TRIM(sales_dataset[[#This Row],[SalespersonName]])="",I439,PROPER(TRIM(sales_dataset[[#This Row],[SalespersonName]])))</f>
        <v>Megha</v>
      </c>
      <c r="J436" s="1" t="s">
        <v>159</v>
      </c>
      <c r="K436" s="1" t="str">
        <f>PROPER(sales_dataset[[#This Row],[ProductCategory cleaned]])</f>
        <v>Electronics</v>
      </c>
      <c r="L436" s="1" t="str">
        <f>PROPER(sales_dataset[[#This Row],[ProductName]])</f>
        <v>Sofa</v>
      </c>
      <c r="M436">
        <f>ABS(sales_dataset!W:W)</f>
        <v>0</v>
      </c>
      <c r="N436">
        <f>ABS(sales_dataset[[#This Row],[Column4]])</f>
        <v>2000</v>
      </c>
      <c r="O436">
        <f t="shared" si="6"/>
        <v>0</v>
      </c>
    </row>
    <row r="437" spans="1:15" x14ac:dyDescent="0.3">
      <c r="A437" s="1" t="s">
        <v>817</v>
      </c>
      <c r="B437" s="2">
        <v>45292</v>
      </c>
      <c r="C437" s="1" t="str">
        <f>IF(TRIM(sales_dataset[[#This Row],[SalesChannel]])="",sales_dataset!C438,PROPER(TRIM(sales_dataset[[#This Row],[SalesChannel]])))</f>
        <v>Store</v>
      </c>
      <c r="D437" s="1" t="s">
        <v>389</v>
      </c>
      <c r="E437" s="1" t="str">
        <f>IF(TRIM(sales_dataset[[#This Row],[CustomerName]])="",sales_dataset!F443, PROPER(TRIM(sales_dataset[[#This Row],[CustomerName]])))</f>
        <v>Priya</v>
      </c>
      <c r="F437" s="1" t="str">
        <f>IF(TRIM(sales_dataset[[#This Row],[City]])="", sales_dataset!$H$3, PROPER(TRIM(sales_dataset[[#This Row],[City]])))</f>
        <v>Hyderabad</v>
      </c>
      <c r="G437" t="str">
        <f>PROPER(sales_dataset[[#This Row],[Region cleaned]])</f>
        <v>North</v>
      </c>
      <c r="H437" t="s">
        <v>119</v>
      </c>
      <c r="I437" t="str">
        <f>IF(TRIM(sales_dataset[[#This Row],[SalespersonName]])="",I440,PROPER(TRIM(sales_dataset[[#This Row],[SalespersonName]])))</f>
        <v>Megha</v>
      </c>
      <c r="J437" s="1" t="s">
        <v>580</v>
      </c>
      <c r="K437" s="1" t="str">
        <f>PROPER(sales_dataset[[#This Row],[ProductCategory cleaned]])</f>
        <v>Home</v>
      </c>
      <c r="L437" s="1" t="str">
        <f>PROPER(sales_dataset[[#This Row],[ProductName]])</f>
        <v>Sofa</v>
      </c>
      <c r="M437">
        <f>ABS(sales_dataset!W:W)</f>
        <v>2</v>
      </c>
      <c r="N437">
        <f>ABS(sales_dataset[[#This Row],[Column4]])</f>
        <v>1500</v>
      </c>
      <c r="O437">
        <f t="shared" si="6"/>
        <v>3000</v>
      </c>
    </row>
    <row r="438" spans="1:15" x14ac:dyDescent="0.3">
      <c r="A438" s="1" t="s">
        <v>818</v>
      </c>
      <c r="B438" s="2">
        <v>45558</v>
      </c>
      <c r="C438" s="1" t="str">
        <f>IF(TRIM(sales_dataset[[#This Row],[SalesChannel]])="",sales_dataset!C439,PROPER(TRIM(sales_dataset[[#This Row],[SalesChannel]])))</f>
        <v>Online</v>
      </c>
      <c r="D438" s="1" t="s">
        <v>509</v>
      </c>
      <c r="E438" s="1" t="str">
        <f>IF(TRIM(sales_dataset[[#This Row],[CustomerName]])="",sales_dataset!F444, PROPER(TRIM(sales_dataset[[#This Row],[CustomerName]])))</f>
        <v>John</v>
      </c>
      <c r="F438" s="1" t="str">
        <f>IF(TRIM(sales_dataset[[#This Row],[City]])="", sales_dataset!$H$3, PROPER(TRIM(sales_dataset[[#This Row],[City]])))</f>
        <v>Mumbai</v>
      </c>
      <c r="G438" t="str">
        <f>PROPER(sales_dataset[[#This Row],[Region cleaned]])</f>
        <v>East</v>
      </c>
      <c r="H438" t="s">
        <v>38</v>
      </c>
      <c r="I438" t="str">
        <f>IF(TRIM(sales_dataset[[#This Row],[SalespersonName]])="",I441,PROPER(TRIM(sales_dataset[[#This Row],[SalespersonName]])))</f>
        <v>Anita</v>
      </c>
      <c r="J438" s="1" t="s">
        <v>651</v>
      </c>
      <c r="K438" s="1" t="str">
        <f>PROPER(sales_dataset[[#This Row],[ProductCategory cleaned]])</f>
        <v>Clothing</v>
      </c>
      <c r="L438" s="1" t="str">
        <f>PROPER(sales_dataset[[#This Row],[ProductName]])</f>
        <v>Shirt</v>
      </c>
      <c r="M438">
        <f>ABS(sales_dataset!W:W)</f>
        <v>1</v>
      </c>
      <c r="N438">
        <f>ABS(sales_dataset[[#This Row],[Column4]])</f>
        <v>2000</v>
      </c>
      <c r="O438">
        <f t="shared" si="6"/>
        <v>2000</v>
      </c>
    </row>
    <row r="439" spans="1:15" x14ac:dyDescent="0.3">
      <c r="A439" s="1" t="s">
        <v>819</v>
      </c>
      <c r="B439" s="2">
        <v>45567</v>
      </c>
      <c r="C439" s="1" t="str">
        <f>IF(TRIM(sales_dataset[[#This Row],[SalesChannel]])="",sales_dataset!C440,PROPER(TRIM(sales_dataset[[#This Row],[SalesChannel]])))</f>
        <v>Online</v>
      </c>
      <c r="D439" s="1" t="s">
        <v>71</v>
      </c>
      <c r="E439" s="1" t="str">
        <f>IF(TRIM(sales_dataset[[#This Row],[CustomerName]])="",sales_dataset!F445, PROPER(TRIM(sales_dataset[[#This Row],[CustomerName]])))</f>
        <v>Sara</v>
      </c>
      <c r="F439" s="1" t="str">
        <f>IF(TRIM(sales_dataset[[#This Row],[City]])="", sales_dataset!$H$3, PROPER(TRIM(sales_dataset[[#This Row],[City]])))</f>
        <v>Delhi</v>
      </c>
      <c r="G439" t="str">
        <f>PROPER(sales_dataset[[#This Row],[Region cleaned]])</f>
        <v>North</v>
      </c>
      <c r="H439" t="s">
        <v>350</v>
      </c>
      <c r="I439" t="str">
        <f>IF(TRIM(sales_dataset[[#This Row],[SalespersonName]])="",I442,PROPER(TRIM(sales_dataset[[#This Row],[SalespersonName]])))</f>
        <v>Megha</v>
      </c>
      <c r="J439" s="1" t="s">
        <v>94</v>
      </c>
      <c r="K439" s="1" t="str">
        <f>PROPER(sales_dataset[[#This Row],[ProductCategory cleaned]])</f>
        <v>Home</v>
      </c>
      <c r="L439" s="1" t="str">
        <f>PROPER(sales_dataset[[#This Row],[ProductName]])</f>
        <v>Tv</v>
      </c>
      <c r="M439">
        <f>ABS(sales_dataset!W:W)</f>
        <v>3</v>
      </c>
      <c r="N439">
        <f>ABS(sales_dataset[[#This Row],[Column4]])</f>
        <v>100</v>
      </c>
      <c r="O439">
        <f t="shared" si="6"/>
        <v>300</v>
      </c>
    </row>
    <row r="440" spans="1:15" x14ac:dyDescent="0.3">
      <c r="A440" s="1" t="s">
        <v>820</v>
      </c>
      <c r="B440" s="2">
        <v>45392</v>
      </c>
      <c r="C440" s="1" t="str">
        <f>IF(TRIM(sales_dataset[[#This Row],[SalesChannel]])="",sales_dataset!C441,PROPER(TRIM(sales_dataset[[#This Row],[SalesChannel]])))</f>
        <v>Online</v>
      </c>
      <c r="D440" s="1" t="s">
        <v>466</v>
      </c>
      <c r="E440" s="1" t="str">
        <f>IF(TRIM(sales_dataset[[#This Row],[CustomerName]])="",sales_dataset!F446, PROPER(TRIM(sales_dataset[[#This Row],[CustomerName]])))</f>
        <v>Priya</v>
      </c>
      <c r="F440" s="1" t="str">
        <f>IF(TRIM(sales_dataset[[#This Row],[City]])="", sales_dataset!$H$3, PROPER(TRIM(sales_dataset[[#This Row],[City]])))</f>
        <v>Mumbai</v>
      </c>
      <c r="G440" t="str">
        <f>PROPER(sales_dataset[[#This Row],[Region cleaned]])</f>
        <v>North</v>
      </c>
      <c r="H440" t="s">
        <v>74</v>
      </c>
      <c r="I440" t="str">
        <f>IF(TRIM(sales_dataset[[#This Row],[SalespersonName]])="",I443,PROPER(TRIM(sales_dataset[[#This Row],[SalespersonName]])))</f>
        <v>Megha</v>
      </c>
      <c r="J440" s="1" t="s">
        <v>279</v>
      </c>
      <c r="K440" s="1" t="str">
        <f>PROPER(sales_dataset[[#This Row],[ProductCategory cleaned]])</f>
        <v>Clothing</v>
      </c>
      <c r="L440" s="1" t="str">
        <f>PROPER(sales_dataset[[#This Row],[ProductName]])</f>
        <v>Watch</v>
      </c>
      <c r="M440">
        <f>ABS(sales_dataset!W:W)</f>
        <v>3</v>
      </c>
      <c r="N440">
        <f>ABS(sales_dataset[[#This Row],[Column4]])</f>
        <v>100</v>
      </c>
      <c r="O440">
        <f t="shared" si="6"/>
        <v>300</v>
      </c>
    </row>
    <row r="441" spans="1:15" x14ac:dyDescent="0.3">
      <c r="A441" s="1" t="s">
        <v>821</v>
      </c>
      <c r="B441" s="2">
        <v>45478</v>
      </c>
      <c r="C441" s="1" t="str">
        <f>IF(TRIM(sales_dataset[[#This Row],[SalesChannel]])="",sales_dataset!C442,PROPER(TRIM(sales_dataset[[#This Row],[SalesChannel]])))</f>
        <v>Offline</v>
      </c>
      <c r="D441" s="1" t="s">
        <v>337</v>
      </c>
      <c r="E441" s="1" t="str">
        <f>IF(TRIM(sales_dataset[[#This Row],[CustomerName]])="",sales_dataset!F447, PROPER(TRIM(sales_dataset[[#This Row],[CustomerName]])))</f>
        <v>Amit</v>
      </c>
      <c r="F441" s="1" t="str">
        <f>IF(TRIM(sales_dataset[[#This Row],[City]])="", sales_dataset!$H$3, PROPER(TRIM(sales_dataset[[#This Row],[City]])))</f>
        <v>Delhi</v>
      </c>
      <c r="G441" t="str">
        <f>PROPER(sales_dataset[[#This Row],[Region cleaned]])</f>
        <v>North</v>
      </c>
      <c r="H441" t="s">
        <v>61</v>
      </c>
      <c r="I441" t="str">
        <f>IF(TRIM(sales_dataset[[#This Row],[SalespersonName]])="",I444,PROPER(TRIM(sales_dataset[[#This Row],[SalespersonName]])))</f>
        <v>Kevin</v>
      </c>
      <c r="J441" s="1" t="s">
        <v>448</v>
      </c>
      <c r="K441" s="1" t="str">
        <f>PROPER(sales_dataset[[#This Row],[ProductCategory cleaned]])</f>
        <v>Home</v>
      </c>
      <c r="L441" s="1" t="str">
        <f>PROPER(sales_dataset[[#This Row],[ProductName]])</f>
        <v>Shirt</v>
      </c>
      <c r="M441">
        <f>ABS(sales_dataset!W:W)</f>
        <v>1</v>
      </c>
      <c r="N441">
        <f>ABS(sales_dataset[[#This Row],[Column4]])</f>
        <v>500</v>
      </c>
      <c r="O441">
        <f t="shared" si="6"/>
        <v>500</v>
      </c>
    </row>
    <row r="442" spans="1:15" x14ac:dyDescent="0.3">
      <c r="A442" s="1" t="s">
        <v>822</v>
      </c>
      <c r="B442" s="2">
        <v>45512</v>
      </c>
      <c r="C442" s="1" t="str">
        <f>IF(TRIM(sales_dataset[[#This Row],[SalesChannel]])="",sales_dataset!C443,PROPER(TRIM(sales_dataset[[#This Row],[SalesChannel]])))</f>
        <v>Store</v>
      </c>
      <c r="D442" s="1" t="s">
        <v>440</v>
      </c>
      <c r="E442" s="1" t="str">
        <f>IF(TRIM(sales_dataset[[#This Row],[CustomerName]])="",sales_dataset!F448, PROPER(TRIM(sales_dataset[[#This Row],[CustomerName]])))</f>
        <v>priya</v>
      </c>
      <c r="F442" s="1" t="str">
        <f>IF(TRIM(sales_dataset[[#This Row],[City]])="", sales_dataset!$H$3, PROPER(TRIM(sales_dataset[[#This Row],[City]])))</f>
        <v>Mumbai</v>
      </c>
      <c r="G442" t="str">
        <f>PROPER(sales_dataset[[#This Row],[Region cleaned]])</f>
        <v>North</v>
      </c>
      <c r="H442" t="s">
        <v>215</v>
      </c>
      <c r="I442" t="str">
        <f>IF(TRIM(sales_dataset[[#This Row],[SalespersonName]])="",I445,PROPER(TRIM(sales_dataset[[#This Row],[SalespersonName]])))</f>
        <v>Kevin</v>
      </c>
      <c r="J442" s="1" t="s">
        <v>452</v>
      </c>
      <c r="K442" s="1" t="str">
        <f>PROPER(sales_dataset[[#This Row],[ProductCategory cleaned]])</f>
        <v>Clothing</v>
      </c>
      <c r="L442" s="1" t="str">
        <f>PROPER(sales_dataset[[#This Row],[ProductName]])</f>
        <v>Watch</v>
      </c>
      <c r="M442">
        <f>ABS(sales_dataset!W:W)</f>
        <v>0</v>
      </c>
      <c r="N442">
        <f>ABS(sales_dataset[[#This Row],[Column4]])</f>
        <v>100</v>
      </c>
      <c r="O442">
        <f t="shared" si="6"/>
        <v>0</v>
      </c>
    </row>
    <row r="443" spans="1:15" x14ac:dyDescent="0.3">
      <c r="A443" s="1" t="s">
        <v>823</v>
      </c>
      <c r="B443" s="2">
        <v>45327</v>
      </c>
      <c r="C443" s="1" t="str">
        <f>IF(TRIM(sales_dataset[[#This Row],[SalesChannel]])="",sales_dataset!C444,PROPER(TRIM(sales_dataset[[#This Row],[SalesChannel]])))</f>
        <v>Store</v>
      </c>
      <c r="D443" s="1" t="s">
        <v>541</v>
      </c>
      <c r="E443" s="1" t="str">
        <f>IF(TRIM(sales_dataset[[#This Row],[CustomerName]])="",sales_dataset!F449, PROPER(TRIM(sales_dataset[[#This Row],[CustomerName]])))</f>
        <v>Sara</v>
      </c>
      <c r="F443" s="1" t="str">
        <f>IF(TRIM(sales_dataset[[#This Row],[City]])="", sales_dataset!$H$3, PROPER(TRIM(sales_dataset[[#This Row],[City]])))</f>
        <v>Chennai</v>
      </c>
      <c r="G443" t="str">
        <f>PROPER(sales_dataset[[#This Row],[Region cleaned]])</f>
        <v>North</v>
      </c>
      <c r="H443" t="s">
        <v>190</v>
      </c>
      <c r="I443" t="str">
        <f>IF(TRIM(sales_dataset[[#This Row],[SalespersonName]])="",I446,PROPER(TRIM(sales_dataset[[#This Row],[SalespersonName]])))</f>
        <v>Kevin</v>
      </c>
      <c r="J443" s="1" t="s">
        <v>178</v>
      </c>
      <c r="K443" s="1" t="str">
        <f>PROPER(sales_dataset[[#This Row],[ProductCategory cleaned]])</f>
        <v>Electronics</v>
      </c>
      <c r="L443" s="1" t="str">
        <f>PROPER(sales_dataset[[#This Row],[ProductName]])</f>
        <v/>
      </c>
      <c r="M443">
        <f>ABS(sales_dataset!W:W)</f>
        <v>1</v>
      </c>
      <c r="N443">
        <f>ABS(sales_dataset[[#This Row],[Column4]])</f>
        <v>500</v>
      </c>
      <c r="O443">
        <f t="shared" si="6"/>
        <v>500</v>
      </c>
    </row>
    <row r="444" spans="1:15" x14ac:dyDescent="0.3">
      <c r="A444" s="1" t="s">
        <v>824</v>
      </c>
      <c r="B444" s="2">
        <v>45461</v>
      </c>
      <c r="C444" s="1" t="str">
        <f>IF(TRIM(sales_dataset[[#This Row],[SalesChannel]])="",sales_dataset!C445,PROPER(TRIM(sales_dataset[[#This Row],[SalesChannel]])))</f>
        <v>Online</v>
      </c>
      <c r="D444" s="1" t="s">
        <v>257</v>
      </c>
      <c r="E444" s="1" t="str">
        <f>IF(TRIM(sales_dataset[[#This Row],[CustomerName]])="",sales_dataset!F450, PROPER(TRIM(sales_dataset[[#This Row],[CustomerName]])))</f>
        <v>David</v>
      </c>
      <c r="F444" s="1" t="str">
        <f>IF(TRIM(sales_dataset[[#This Row],[City]])="", sales_dataset!$H$3, PROPER(TRIM(sales_dataset[[#This Row],[City]])))</f>
        <v>Chennai</v>
      </c>
      <c r="G444" t="str">
        <f>PROPER(sales_dataset[[#This Row],[Region cleaned]])</f>
        <v>South</v>
      </c>
      <c r="H444" t="s">
        <v>343</v>
      </c>
      <c r="I444" t="str">
        <f>IF(TRIM(sales_dataset[[#This Row],[SalespersonName]])="",I447,PROPER(TRIM(sales_dataset[[#This Row],[SalespersonName]])))</f>
        <v>Anita</v>
      </c>
      <c r="J444" s="1" t="s">
        <v>166</v>
      </c>
      <c r="K444" s="1" t="str">
        <f>PROPER(sales_dataset[[#This Row],[ProductCategory cleaned]])</f>
        <v>Clothing</v>
      </c>
      <c r="L444" s="1" t="str">
        <f>PROPER(sales_dataset[[#This Row],[ProductName]])</f>
        <v>Laptop</v>
      </c>
      <c r="M444">
        <f>ABS(sales_dataset!W:W)</f>
        <v>3</v>
      </c>
      <c r="N444">
        <f>ABS(sales_dataset[[#This Row],[Column4]])</f>
        <v>500</v>
      </c>
      <c r="O444">
        <f t="shared" si="6"/>
        <v>1500</v>
      </c>
    </row>
    <row r="445" spans="1:15" x14ac:dyDescent="0.3">
      <c r="A445" s="1" t="s">
        <v>825</v>
      </c>
      <c r="B445" s="2">
        <v>45452</v>
      </c>
      <c r="C445" s="1" t="str">
        <f>IF(TRIM(sales_dataset[[#This Row],[SalesChannel]])="",sales_dataset!C446,PROPER(TRIM(sales_dataset[[#This Row],[SalesChannel]])))</f>
        <v>Online</v>
      </c>
      <c r="D445" s="1" t="s">
        <v>584</v>
      </c>
      <c r="E445" s="1" t="str">
        <f>IF(TRIM(sales_dataset[[#This Row],[CustomerName]])="",sales_dataset!F451, PROPER(TRIM(sales_dataset[[#This Row],[CustomerName]])))</f>
        <v>Sara</v>
      </c>
      <c r="F445" s="1" t="str">
        <f>IF(TRIM(sales_dataset[[#This Row],[City]])="", sales_dataset!$H$3, PROPER(TRIM(sales_dataset[[#This Row],[City]])))</f>
        <v>Hyderabad</v>
      </c>
      <c r="G445" t="str">
        <f>PROPER(sales_dataset[[#This Row],[Region cleaned]])</f>
        <v>North</v>
      </c>
      <c r="H445" t="s">
        <v>193</v>
      </c>
      <c r="I445" t="str">
        <f>IF(TRIM(sales_dataset[[#This Row],[SalespersonName]])="",I448,PROPER(TRIM(sales_dataset[[#This Row],[SalespersonName]])))</f>
        <v>Megha</v>
      </c>
      <c r="J445" s="1" t="s">
        <v>705</v>
      </c>
      <c r="K445" s="1" t="str">
        <f>PROPER(sales_dataset[[#This Row],[ProductCategory cleaned]])</f>
        <v>Electronics</v>
      </c>
      <c r="L445" s="1" t="str">
        <f>PROPER(sales_dataset[[#This Row],[ProductName]])</f>
        <v>Shirt</v>
      </c>
      <c r="M445">
        <f>ABS(sales_dataset!W:W)</f>
        <v>5</v>
      </c>
      <c r="N445">
        <f>ABS(sales_dataset[[#This Row],[Column4]])</f>
        <v>500</v>
      </c>
      <c r="O445">
        <f t="shared" si="6"/>
        <v>2500</v>
      </c>
    </row>
    <row r="446" spans="1:15" x14ac:dyDescent="0.3">
      <c r="A446" s="1" t="s">
        <v>826</v>
      </c>
      <c r="B446" s="2">
        <v>45355</v>
      </c>
      <c r="C446" s="1" t="str">
        <f>IF(TRIM(sales_dataset[[#This Row],[SalesChannel]])="",sales_dataset!C447,PROPER(TRIM(sales_dataset[[#This Row],[SalesChannel]])))</f>
        <v>Online</v>
      </c>
      <c r="D446" s="1" t="s">
        <v>827</v>
      </c>
      <c r="E446" s="1" t="str">
        <f>IF(TRIM(sales_dataset[[#This Row],[CustomerName]])="",sales_dataset!F452, PROPER(TRIM(sales_dataset[[#This Row],[CustomerName]])))</f>
        <v>Priya</v>
      </c>
      <c r="F446" s="1" t="str">
        <f>IF(TRIM(sales_dataset[[#This Row],[City]])="", sales_dataset!$H$3, PROPER(TRIM(sales_dataset[[#This Row],[City]])))</f>
        <v>Hyderabad</v>
      </c>
      <c r="G446" t="str">
        <f>PROPER(sales_dataset[[#This Row],[Region cleaned]])</f>
        <v>North</v>
      </c>
      <c r="H446" t="s">
        <v>148</v>
      </c>
      <c r="I446" t="str">
        <f>IF(TRIM(sales_dataset[[#This Row],[SalespersonName]])="",I449,PROPER(TRIM(sales_dataset[[#This Row],[SalespersonName]])))</f>
        <v>Raj</v>
      </c>
      <c r="J446" s="1" t="s">
        <v>40</v>
      </c>
      <c r="K446" s="1" t="str">
        <f>PROPER(sales_dataset[[#This Row],[ProductCategory cleaned]])</f>
        <v>Home</v>
      </c>
      <c r="L446" s="1" t="str">
        <f>PROPER(sales_dataset[[#This Row],[ProductName]])</f>
        <v>Shirt</v>
      </c>
      <c r="M446">
        <f>ABS(sales_dataset!W:W)</f>
        <v>5</v>
      </c>
      <c r="N446">
        <f>ABS(sales_dataset[[#This Row],[Column4]])</f>
        <v>100</v>
      </c>
      <c r="O446">
        <f t="shared" si="6"/>
        <v>500</v>
      </c>
    </row>
    <row r="447" spans="1:15" x14ac:dyDescent="0.3">
      <c r="A447" s="1" t="s">
        <v>828</v>
      </c>
      <c r="B447" s="2">
        <v>45445</v>
      </c>
      <c r="C447" s="1" t="str">
        <f>IF(TRIM(sales_dataset[[#This Row],[SalesChannel]])="",sales_dataset!C448,PROPER(TRIM(sales_dataset[[#This Row],[SalesChannel]])))</f>
        <v>Offline</v>
      </c>
      <c r="D447" s="1" t="s">
        <v>743</v>
      </c>
      <c r="E447" s="1" t="str">
        <f>IF(TRIM(sales_dataset[[#This Row],[CustomerName]])="",sales_dataset!F453, PROPER(TRIM(sales_dataset[[#This Row],[CustomerName]])))</f>
        <v>Amit</v>
      </c>
      <c r="F447" s="1" t="str">
        <f>IF(TRIM(sales_dataset[[#This Row],[City]])="", sales_dataset!$H$3, PROPER(TRIM(sales_dataset[[#This Row],[City]])))</f>
        <v>Hyderabad</v>
      </c>
      <c r="G447" t="str">
        <f>PROPER(sales_dataset[[#This Row],[Region cleaned]])</f>
        <v>South</v>
      </c>
      <c r="H447" t="s">
        <v>173</v>
      </c>
      <c r="I447" t="str">
        <f>IF(TRIM(sales_dataset[[#This Row],[SalespersonName]])="",I450,PROPER(TRIM(sales_dataset[[#This Row],[SalespersonName]])))</f>
        <v>Megha</v>
      </c>
      <c r="J447" s="1" t="s">
        <v>286</v>
      </c>
      <c r="K447" s="1" t="str">
        <f>PROPER(sales_dataset[[#This Row],[ProductCategory cleaned]])</f>
        <v>Home</v>
      </c>
      <c r="L447" s="1" t="str">
        <f>PROPER(sales_dataset[[#This Row],[ProductName]])</f>
        <v>Shirt</v>
      </c>
      <c r="M447">
        <f>ABS(sales_dataset!W:W)</f>
        <v>3</v>
      </c>
      <c r="N447">
        <f>ABS(sales_dataset[[#This Row],[Column4]])</f>
        <v>500</v>
      </c>
      <c r="O447">
        <f t="shared" si="6"/>
        <v>1500</v>
      </c>
    </row>
    <row r="448" spans="1:15" x14ac:dyDescent="0.3">
      <c r="A448" s="1" t="s">
        <v>829</v>
      </c>
      <c r="B448" s="2">
        <v>45551</v>
      </c>
      <c r="C448" s="1" t="str">
        <f>IF(TRIM(sales_dataset[[#This Row],[SalesChannel]])="",sales_dataset!C449,PROPER(TRIM(sales_dataset[[#This Row],[SalesChannel]])))</f>
        <v>Store</v>
      </c>
      <c r="D448" s="1" t="s">
        <v>295</v>
      </c>
      <c r="E448" s="1" t="str">
        <f>IF(TRIM(sales_dataset[[#This Row],[CustomerName]])="",sales_dataset!F454, PROPER(TRIM(sales_dataset[[#This Row],[CustomerName]])))</f>
        <v>Priya</v>
      </c>
      <c r="F448" s="1" t="str">
        <f>IF(TRIM(sales_dataset[[#This Row],[City]])="", sales_dataset!$H$3, PROPER(TRIM(sales_dataset[[#This Row],[City]])))</f>
        <v>Delhi</v>
      </c>
      <c r="G448" t="str">
        <f>PROPER(sales_dataset[[#This Row],[Region cleaned]])</f>
        <v>South</v>
      </c>
      <c r="H448" t="s">
        <v>152</v>
      </c>
      <c r="I448" t="str">
        <f>IF(TRIM(sales_dataset[[#This Row],[SalespersonName]])="",I451,PROPER(TRIM(sales_dataset[[#This Row],[SalespersonName]])))</f>
        <v>Anita</v>
      </c>
      <c r="J448" s="1" t="s">
        <v>293</v>
      </c>
      <c r="K448" s="1" t="str">
        <f>PROPER(sales_dataset[[#This Row],[ProductCategory cleaned]])</f>
        <v>Clothing</v>
      </c>
      <c r="L448" s="1" t="str">
        <f>PROPER(sales_dataset[[#This Row],[ProductName]])</f>
        <v>Laptop</v>
      </c>
      <c r="M448">
        <f>ABS(sales_dataset!W:W)</f>
        <v>1</v>
      </c>
      <c r="N448">
        <f>ABS(sales_dataset[[#This Row],[Column4]])</f>
        <v>2500</v>
      </c>
      <c r="O448">
        <f t="shared" si="6"/>
        <v>2500</v>
      </c>
    </row>
    <row r="449" spans="1:15" x14ac:dyDescent="0.3">
      <c r="A449" s="1" t="s">
        <v>830</v>
      </c>
      <c r="B449" s="2">
        <v>45450</v>
      </c>
      <c r="C449" s="1" t="str">
        <f>IF(TRIM(sales_dataset[[#This Row],[SalesChannel]])="",sales_dataset!C450,PROPER(TRIM(sales_dataset[[#This Row],[SalesChannel]])))</f>
        <v>Store</v>
      </c>
      <c r="D449" s="1" t="s">
        <v>369</v>
      </c>
      <c r="E449" s="1" t="str">
        <f>IF(TRIM(sales_dataset[[#This Row],[CustomerName]])="",sales_dataset!F455, PROPER(TRIM(sales_dataset[[#This Row],[CustomerName]])))</f>
        <v>Priya</v>
      </c>
      <c r="F449" s="1" t="str">
        <f>IF(TRIM(sales_dataset[[#This Row],[City]])="", sales_dataset!$H$3, PROPER(TRIM(sales_dataset[[#This Row],[City]])))</f>
        <v>Bengaluru</v>
      </c>
      <c r="G449" t="str">
        <f>PROPER(sales_dataset[[#This Row],[Region cleaned]])</f>
        <v/>
      </c>
      <c r="H449" t="s">
        <v>74</v>
      </c>
      <c r="I449" t="str">
        <f>IF(TRIM(sales_dataset[[#This Row],[SalespersonName]])="",I452,PROPER(TRIM(sales_dataset[[#This Row],[SalespersonName]])))</f>
        <v>Kevin</v>
      </c>
      <c r="J449" s="1" t="s">
        <v>62</v>
      </c>
      <c r="K449" s="1" t="str">
        <f>PROPER(sales_dataset[[#This Row],[ProductCategory cleaned]])</f>
        <v>Clothing</v>
      </c>
      <c r="L449" s="1" t="str">
        <f>PROPER(sales_dataset[[#This Row],[ProductName]])</f>
        <v>Shirt</v>
      </c>
      <c r="M449">
        <f>ABS(sales_dataset!W:W)</f>
        <v>1</v>
      </c>
      <c r="N449">
        <f>ABS(sales_dataset[[#This Row],[Column4]])</f>
        <v>0</v>
      </c>
      <c r="O449">
        <f t="shared" si="6"/>
        <v>0</v>
      </c>
    </row>
    <row r="450" spans="1:15" x14ac:dyDescent="0.3">
      <c r="A450" s="1" t="s">
        <v>831</v>
      </c>
      <c r="B450" s="2">
        <v>45501</v>
      </c>
      <c r="C450" s="1" t="str">
        <f>IF(TRIM(sales_dataset[[#This Row],[SalesChannel]])="",sales_dataset!C451,PROPER(TRIM(sales_dataset[[#This Row],[SalesChannel]])))</f>
        <v>Online</v>
      </c>
      <c r="D450" s="1" t="s">
        <v>648</v>
      </c>
      <c r="E450" s="1" t="str">
        <f>IF(TRIM(sales_dataset[[#This Row],[CustomerName]])="",sales_dataset!F456, PROPER(TRIM(sales_dataset[[#This Row],[CustomerName]])))</f>
        <v>John</v>
      </c>
      <c r="F450" s="1" t="str">
        <f>IF(TRIM(sales_dataset[[#This Row],[City]])="", sales_dataset!$H$3, PROPER(TRIM(sales_dataset[[#This Row],[City]])))</f>
        <v>Bengaluru</v>
      </c>
      <c r="G450" t="str">
        <f>PROPER(sales_dataset[[#This Row],[Region cleaned]])</f>
        <v>North</v>
      </c>
      <c r="H450" t="s">
        <v>93</v>
      </c>
      <c r="I450" t="str">
        <f>IF(TRIM(sales_dataset[[#This Row],[SalespersonName]])="",I453,PROPER(TRIM(sales_dataset[[#This Row],[SalespersonName]])))</f>
        <v>Anita</v>
      </c>
      <c r="J450" s="1" t="s">
        <v>104</v>
      </c>
      <c r="K450" s="1" t="str">
        <f>PROPER(sales_dataset[[#This Row],[ProductCategory cleaned]])</f>
        <v>Electronics</v>
      </c>
      <c r="L450" s="1" t="str">
        <f>PROPER(sales_dataset[[#This Row],[ProductName]])</f>
        <v>Watch</v>
      </c>
      <c r="M450">
        <f>ABS(sales_dataset!W:W)</f>
        <v>1</v>
      </c>
      <c r="N450">
        <f>ABS(sales_dataset[[#This Row],[Column4]])</f>
        <v>2500</v>
      </c>
      <c r="O450">
        <f t="shared" si="6"/>
        <v>2500</v>
      </c>
    </row>
    <row r="451" spans="1:15" x14ac:dyDescent="0.3">
      <c r="A451" s="1" t="s">
        <v>832</v>
      </c>
      <c r="B451" s="2">
        <v>45459</v>
      </c>
      <c r="C451" s="1" t="str">
        <f>IF(TRIM(sales_dataset[[#This Row],[SalesChannel]])="",sales_dataset!C452,PROPER(TRIM(sales_dataset[[#This Row],[SalesChannel]])))</f>
        <v>Online</v>
      </c>
      <c r="D451" s="1" t="s">
        <v>139</v>
      </c>
      <c r="E451" s="1" t="str">
        <f>IF(TRIM(sales_dataset[[#This Row],[CustomerName]])="",sales_dataset!F457, PROPER(TRIM(sales_dataset[[#This Row],[CustomerName]])))</f>
        <v>Sara</v>
      </c>
      <c r="F451" s="1" t="str">
        <f>IF(TRIM(sales_dataset[[#This Row],[City]])="", sales_dataset!$H$3, PROPER(TRIM(sales_dataset[[#This Row],[City]])))</f>
        <v>Bengaluru</v>
      </c>
      <c r="G451" t="str">
        <f>PROPER(sales_dataset[[#This Row],[Region cleaned]])</f>
        <v>East</v>
      </c>
      <c r="H451" t="s">
        <v>55</v>
      </c>
      <c r="I451" t="str">
        <f>IF(TRIM(sales_dataset[[#This Row],[SalespersonName]])="",I454,PROPER(TRIM(sales_dataset[[#This Row],[SalespersonName]])))</f>
        <v>Kevin</v>
      </c>
      <c r="J451" s="1" t="s">
        <v>276</v>
      </c>
      <c r="K451" s="1" t="str">
        <f>PROPER(sales_dataset[[#This Row],[ProductCategory cleaned]])</f>
        <v>Clothing</v>
      </c>
      <c r="L451" s="1" t="str">
        <f>PROPER(sales_dataset[[#This Row],[ProductName]])</f>
        <v>Shirt</v>
      </c>
      <c r="M451">
        <f>ABS(sales_dataset!W:W)</f>
        <v>2</v>
      </c>
      <c r="N451">
        <f>ABS(sales_dataset[[#This Row],[Column4]])</f>
        <v>500</v>
      </c>
      <c r="O451">
        <f t="shared" ref="O451:O511" si="7">M451*N451</f>
        <v>1000</v>
      </c>
    </row>
    <row r="452" spans="1:15" x14ac:dyDescent="0.3">
      <c r="A452" s="1" t="s">
        <v>833</v>
      </c>
      <c r="B452" s="2">
        <v>45498</v>
      </c>
      <c r="C452" s="1" t="str">
        <f>IF(TRIM(sales_dataset[[#This Row],[SalesChannel]])="",sales_dataset!C453,PROPER(TRIM(sales_dataset[[#This Row],[SalesChannel]])))</f>
        <v>Online</v>
      </c>
      <c r="D452" s="1" t="s">
        <v>333</v>
      </c>
      <c r="E452" s="1" t="str">
        <f>IF(TRIM(sales_dataset[[#This Row],[CustomerName]])="",sales_dataset!F458, PROPER(TRIM(sales_dataset[[#This Row],[CustomerName]])))</f>
        <v>Sara</v>
      </c>
      <c r="F452" s="1" t="str">
        <f>IF(TRIM(sales_dataset[[#This Row],[City]])="", sales_dataset!$H$3, PROPER(TRIM(sales_dataset[[#This Row],[City]])))</f>
        <v>Chennai</v>
      </c>
      <c r="G452" t="str">
        <f>PROPER(sales_dataset[[#This Row],[Region cleaned]])</f>
        <v>North</v>
      </c>
      <c r="H452" t="s">
        <v>237</v>
      </c>
      <c r="I452" t="str">
        <f>IF(TRIM(sales_dataset[[#This Row],[SalespersonName]])="",I455,PROPER(TRIM(sales_dataset[[#This Row],[SalespersonName]])))</f>
        <v>Anita</v>
      </c>
      <c r="J452" s="1" t="s">
        <v>276</v>
      </c>
      <c r="K452" s="1" t="str">
        <f>PROPER(sales_dataset[[#This Row],[ProductCategory cleaned]])</f>
        <v>Electronics</v>
      </c>
      <c r="L452" s="1" t="str">
        <f>PROPER(sales_dataset[[#This Row],[ProductName]])</f>
        <v/>
      </c>
      <c r="M452">
        <f>ABS(sales_dataset!W:W)</f>
        <v>4</v>
      </c>
      <c r="N452">
        <f>ABS(sales_dataset[[#This Row],[Column4]])</f>
        <v>1500</v>
      </c>
      <c r="O452">
        <f t="shared" si="7"/>
        <v>6000</v>
      </c>
    </row>
    <row r="453" spans="1:15" x14ac:dyDescent="0.3">
      <c r="A453" s="1" t="s">
        <v>834</v>
      </c>
      <c r="B453" s="2">
        <v>45443</v>
      </c>
      <c r="C453" s="1" t="str">
        <f>IF(TRIM(sales_dataset[[#This Row],[SalesChannel]])="",sales_dataset!C454,PROPER(TRIM(sales_dataset[[#This Row],[SalesChannel]])))</f>
        <v>Offline</v>
      </c>
      <c r="D453" s="1" t="s">
        <v>596</v>
      </c>
      <c r="E453" s="1" t="str">
        <f>IF(TRIM(sales_dataset[[#This Row],[CustomerName]])="",sales_dataset!F459, PROPER(TRIM(sales_dataset[[#This Row],[CustomerName]])))</f>
        <v>John</v>
      </c>
      <c r="F453" s="1" t="str">
        <f>IF(TRIM(sales_dataset[[#This Row],[City]])="", sales_dataset!$H$3, PROPER(TRIM(sales_dataset[[#This Row],[City]])))</f>
        <v>Chennai</v>
      </c>
      <c r="G453" t="str">
        <f>PROPER(sales_dataset[[#This Row],[Region cleaned]])</f>
        <v>East</v>
      </c>
      <c r="H453" t="s">
        <v>152</v>
      </c>
      <c r="I453" t="str">
        <f>IF(TRIM(sales_dataset[[#This Row],[SalespersonName]])="",I456,PROPER(TRIM(sales_dataset[[#This Row],[SalespersonName]])))</f>
        <v>Raj</v>
      </c>
      <c r="J453" s="1" t="s">
        <v>206</v>
      </c>
      <c r="K453" s="1" t="str">
        <f>PROPER(sales_dataset[[#This Row],[ProductCategory cleaned]])</f>
        <v>Home</v>
      </c>
      <c r="L453" s="1" t="str">
        <f>PROPER(sales_dataset[[#This Row],[ProductName]])</f>
        <v>Sofa</v>
      </c>
      <c r="M453">
        <f>ABS(sales_dataset!W:W)</f>
        <v>2</v>
      </c>
      <c r="N453">
        <f>ABS(sales_dataset[[#This Row],[Column4]])</f>
        <v>500</v>
      </c>
      <c r="O453">
        <f t="shared" si="7"/>
        <v>1000</v>
      </c>
    </row>
    <row r="454" spans="1:15" x14ac:dyDescent="0.3">
      <c r="A454" s="1" t="s">
        <v>835</v>
      </c>
      <c r="B454" s="2">
        <v>45575</v>
      </c>
      <c r="C454" s="1" t="str">
        <f>IF(TRIM(sales_dataset[[#This Row],[SalesChannel]])="",sales_dataset!C455,PROPER(TRIM(sales_dataset[[#This Row],[SalesChannel]])))</f>
        <v>Store</v>
      </c>
      <c r="D454" s="1" t="s">
        <v>232</v>
      </c>
      <c r="E454" s="1" t="str">
        <f>IF(TRIM(sales_dataset[[#This Row],[CustomerName]])="",sales_dataset!F460, PROPER(TRIM(sales_dataset[[#This Row],[CustomerName]])))</f>
        <v>priya</v>
      </c>
      <c r="F454" s="1" t="str">
        <f>IF(TRIM(sales_dataset[[#This Row],[City]])="", sales_dataset!$H$3, PROPER(TRIM(sales_dataset[[#This Row],[City]])))</f>
        <v>Delhi</v>
      </c>
      <c r="G454" t="str">
        <f>PROPER(sales_dataset[[#This Row],[Region cleaned]])</f>
        <v>North</v>
      </c>
      <c r="H454" t="s">
        <v>111</v>
      </c>
      <c r="I454" t="str">
        <f>IF(TRIM(sales_dataset[[#This Row],[SalespersonName]])="",I457,PROPER(TRIM(sales_dataset[[#This Row],[SalespersonName]])))</f>
        <v>Kevin</v>
      </c>
      <c r="J454" s="1" t="s">
        <v>351</v>
      </c>
      <c r="K454" s="1" t="str">
        <f>PROPER(sales_dataset[[#This Row],[ProductCategory cleaned]])</f>
        <v>Electronics</v>
      </c>
      <c r="L454" s="1" t="str">
        <f>PROPER(sales_dataset[[#This Row],[ProductName]])</f>
        <v>Shirt</v>
      </c>
      <c r="M454">
        <f>ABS(sales_dataset!W:W)</f>
        <v>1</v>
      </c>
      <c r="N454">
        <f>ABS(sales_dataset[[#This Row],[Column4]])</f>
        <v>0</v>
      </c>
      <c r="O454">
        <f t="shared" si="7"/>
        <v>0</v>
      </c>
    </row>
    <row r="455" spans="1:15" x14ac:dyDescent="0.3">
      <c r="A455" s="1" t="s">
        <v>836</v>
      </c>
      <c r="B455" s="2">
        <v>45357</v>
      </c>
      <c r="C455" s="1" t="str">
        <f>IF(TRIM(sales_dataset[[#This Row],[SalesChannel]])="",sales_dataset!C456,PROPER(TRIM(sales_dataset[[#This Row],[SalesChannel]])))</f>
        <v>Store</v>
      </c>
      <c r="D455" s="1" t="s">
        <v>223</v>
      </c>
      <c r="E455" s="1" t="str">
        <f>IF(TRIM(sales_dataset[[#This Row],[CustomerName]])="",sales_dataset!F461, PROPER(TRIM(sales_dataset[[#This Row],[CustomerName]])))</f>
        <v>Priya</v>
      </c>
      <c r="F455" s="1" t="str">
        <f>IF(TRIM(sales_dataset[[#This Row],[City]])="", sales_dataset!$H$3, PROPER(TRIM(sales_dataset[[#This Row],[City]])))</f>
        <v>Bengaluru</v>
      </c>
      <c r="G455" t="str">
        <f>PROPER(sales_dataset[[#This Row],[Region cleaned]])</f>
        <v>North</v>
      </c>
      <c r="H455" t="s">
        <v>55</v>
      </c>
      <c r="I455" t="str">
        <f>IF(TRIM(sales_dataset[[#This Row],[SalespersonName]])="",I458,PROPER(TRIM(sales_dataset[[#This Row],[SalespersonName]])))</f>
        <v>Kevin</v>
      </c>
      <c r="J455" s="1" t="s">
        <v>515</v>
      </c>
      <c r="K455" s="1" t="str">
        <f>PROPER(sales_dataset[[#This Row],[ProductCategory cleaned]])</f>
        <v>Clothing</v>
      </c>
      <c r="L455" s="1" t="str">
        <f>PROPER(sales_dataset[[#This Row],[ProductName]])</f>
        <v>Shirt</v>
      </c>
      <c r="M455">
        <f>ABS(sales_dataset!W:W)</f>
        <v>5</v>
      </c>
      <c r="N455">
        <f>ABS(sales_dataset[[#This Row],[Column4]])</f>
        <v>2000</v>
      </c>
      <c r="O455">
        <f t="shared" si="7"/>
        <v>10000</v>
      </c>
    </row>
    <row r="456" spans="1:15" x14ac:dyDescent="0.3">
      <c r="A456" s="1" t="s">
        <v>837</v>
      </c>
      <c r="B456" s="2">
        <v>45390</v>
      </c>
      <c r="C456" s="1" t="str">
        <f>IF(TRIM(sales_dataset[[#This Row],[SalesChannel]])="",sales_dataset!C457,PROPER(TRIM(sales_dataset[[#This Row],[SalesChannel]])))</f>
        <v>Online</v>
      </c>
      <c r="D456" s="1" t="s">
        <v>114</v>
      </c>
      <c r="E456" s="1" t="str">
        <f>IF(TRIM(sales_dataset[[#This Row],[CustomerName]])="",sales_dataset!F462, PROPER(TRIM(sales_dataset[[#This Row],[CustomerName]])))</f>
        <v>Amit</v>
      </c>
      <c r="F456" s="1" t="str">
        <f>IF(TRIM(sales_dataset[[#This Row],[City]])="", sales_dataset!$H$3, PROPER(TRIM(sales_dataset[[#This Row],[City]])))</f>
        <v>Mumbai</v>
      </c>
      <c r="G456" t="str">
        <f>PROPER(sales_dataset[[#This Row],[Region cleaned]])</f>
        <v>North</v>
      </c>
      <c r="H456" t="s">
        <v>125</v>
      </c>
      <c r="I456" t="str">
        <f>IF(TRIM(sales_dataset[[#This Row],[SalespersonName]])="",I459,PROPER(TRIM(sales_dataset[[#This Row],[SalespersonName]])))</f>
        <v>Megha</v>
      </c>
      <c r="J456" s="1" t="s">
        <v>159</v>
      </c>
      <c r="K456" s="1" t="str">
        <f>PROPER(sales_dataset[[#This Row],[ProductCategory cleaned]])</f>
        <v>Home</v>
      </c>
      <c r="L456" s="1" t="str">
        <f>PROPER(sales_dataset[[#This Row],[ProductName]])</f>
        <v>Watch</v>
      </c>
      <c r="M456">
        <f>ABS(sales_dataset!W:W)</f>
        <v>2</v>
      </c>
      <c r="N456">
        <f>ABS(sales_dataset[[#This Row],[Column4]])</f>
        <v>2500</v>
      </c>
      <c r="O456">
        <f t="shared" si="7"/>
        <v>5000</v>
      </c>
    </row>
    <row r="457" spans="1:15" x14ac:dyDescent="0.3">
      <c r="A457" s="1" t="s">
        <v>838</v>
      </c>
      <c r="B457" s="2">
        <v>45507</v>
      </c>
      <c r="C457" s="1" t="str">
        <f>IF(TRIM(sales_dataset[[#This Row],[SalesChannel]])="",sales_dataset!C458,PROPER(TRIM(sales_dataset[[#This Row],[SalesChannel]])))</f>
        <v>Online</v>
      </c>
      <c r="D457" s="1" t="s">
        <v>290</v>
      </c>
      <c r="E457" s="1" t="str">
        <f>IF(TRIM(sales_dataset[[#This Row],[CustomerName]])="",sales_dataset!F463, PROPER(TRIM(sales_dataset[[#This Row],[CustomerName]])))</f>
        <v>Priya</v>
      </c>
      <c r="F457" s="1" t="str">
        <f>IF(TRIM(sales_dataset[[#This Row],[City]])="", sales_dataset!$H$3, PROPER(TRIM(sales_dataset[[#This Row],[City]])))</f>
        <v>Hyderabad</v>
      </c>
      <c r="G457" t="str">
        <f>PROPER(sales_dataset[[#This Row],[Region cleaned]])</f>
        <v>North</v>
      </c>
      <c r="H457" t="s">
        <v>93</v>
      </c>
      <c r="I457" t="str">
        <f>IF(TRIM(sales_dataset[[#This Row],[SalespersonName]])="",I460,PROPER(TRIM(sales_dataset[[#This Row],[SalespersonName]])))</f>
        <v>Sam</v>
      </c>
      <c r="J457" s="1" t="s">
        <v>112</v>
      </c>
      <c r="K457" s="1" t="str">
        <f>PROPER(sales_dataset[[#This Row],[ProductCategory cleaned]])</f>
        <v>Home</v>
      </c>
      <c r="L457" s="1" t="str">
        <f>PROPER(sales_dataset[[#This Row],[ProductName]])</f>
        <v>Shirt</v>
      </c>
      <c r="M457">
        <f>ABS(sales_dataset!W:W)</f>
        <v>2</v>
      </c>
      <c r="N457">
        <f>ABS(sales_dataset[[#This Row],[Column4]])</f>
        <v>100</v>
      </c>
      <c r="O457">
        <f t="shared" si="7"/>
        <v>200</v>
      </c>
    </row>
    <row r="458" spans="1:15" x14ac:dyDescent="0.3">
      <c r="A458" s="1" t="s">
        <v>839</v>
      </c>
      <c r="B458" s="2">
        <v>45486</v>
      </c>
      <c r="C458" s="1" t="str">
        <f>IF(TRIM(sales_dataset[[#This Row],[SalesChannel]])="",sales_dataset!C459,PROPER(TRIM(sales_dataset[[#This Row],[SalesChannel]])))</f>
        <v>Online</v>
      </c>
      <c r="D458" s="1" t="s">
        <v>26</v>
      </c>
      <c r="E458" s="1" t="str">
        <f>IF(TRIM(sales_dataset[[#This Row],[CustomerName]])="",sales_dataset!F464, PROPER(TRIM(sales_dataset[[#This Row],[CustomerName]])))</f>
        <v>Priya</v>
      </c>
      <c r="F458" s="1" t="str">
        <f>IF(TRIM(sales_dataset[[#This Row],[City]])="", sales_dataset!$H$3, PROPER(TRIM(sales_dataset[[#This Row],[City]])))</f>
        <v>Mumbai</v>
      </c>
      <c r="G458" t="str">
        <f>PROPER(sales_dataset[[#This Row],[Region cleaned]])</f>
        <v>North</v>
      </c>
      <c r="H458" t="s">
        <v>20</v>
      </c>
      <c r="I458" t="str">
        <f>IF(TRIM(sales_dataset[[#This Row],[SalespersonName]])="",I461,PROPER(TRIM(sales_dataset[[#This Row],[SalespersonName]])))</f>
        <v>Sam</v>
      </c>
      <c r="J458" s="1" t="s">
        <v>705</v>
      </c>
      <c r="K458" s="1" t="str">
        <f>PROPER(sales_dataset[[#This Row],[ProductCategory cleaned]])</f>
        <v>Clothing</v>
      </c>
      <c r="L458" s="1" t="str">
        <f>PROPER(sales_dataset[[#This Row],[ProductName]])</f>
        <v/>
      </c>
      <c r="M458">
        <f>ABS(sales_dataset!W:W)</f>
        <v>4</v>
      </c>
      <c r="N458">
        <f>ABS(sales_dataset[[#This Row],[Column4]])</f>
        <v>2500</v>
      </c>
      <c r="O458">
        <f t="shared" si="7"/>
        <v>10000</v>
      </c>
    </row>
    <row r="459" spans="1:15" x14ac:dyDescent="0.3">
      <c r="A459" s="1" t="s">
        <v>840</v>
      </c>
      <c r="B459" s="2">
        <v>45381</v>
      </c>
      <c r="C459" s="1" t="str">
        <f>IF(TRIM(sales_dataset[[#This Row],[SalesChannel]])="",sales_dataset!C460,PROPER(TRIM(sales_dataset[[#This Row],[SalesChannel]])))</f>
        <v>Offline</v>
      </c>
      <c r="D459" s="1" t="s">
        <v>523</v>
      </c>
      <c r="E459" s="1" t="str">
        <f>IF(TRIM(sales_dataset[[#This Row],[CustomerName]])="",sales_dataset!F465, PROPER(TRIM(sales_dataset[[#This Row],[CustomerName]])))</f>
        <v>David</v>
      </c>
      <c r="F459" s="1" t="str">
        <f>IF(TRIM(sales_dataset[[#This Row],[City]])="", sales_dataset!$H$3, PROPER(TRIM(sales_dataset[[#This Row],[City]])))</f>
        <v>Delhi</v>
      </c>
      <c r="G459" t="str">
        <f>PROPER(sales_dataset[[#This Row],[Region cleaned]])</f>
        <v>East</v>
      </c>
      <c r="H459" t="s">
        <v>55</v>
      </c>
      <c r="I459" t="str">
        <f>IF(TRIM(sales_dataset[[#This Row],[SalespersonName]])="",I462,PROPER(TRIM(sales_dataset[[#This Row],[SalespersonName]])))</f>
        <v>Anita</v>
      </c>
      <c r="J459" s="1" t="s">
        <v>178</v>
      </c>
      <c r="K459" s="1" t="str">
        <f>PROPER(sales_dataset[[#This Row],[ProductCategory cleaned]])</f>
        <v>Clothing</v>
      </c>
      <c r="L459" s="1" t="str">
        <f>PROPER(sales_dataset[[#This Row],[ProductName]])</f>
        <v>Laptop</v>
      </c>
      <c r="M459">
        <f>ABS(sales_dataset!W:W)</f>
        <v>1</v>
      </c>
      <c r="N459">
        <f>ABS(sales_dataset[[#This Row],[Column4]])</f>
        <v>100</v>
      </c>
      <c r="O459">
        <f t="shared" si="7"/>
        <v>100</v>
      </c>
    </row>
    <row r="460" spans="1:15" x14ac:dyDescent="0.3">
      <c r="A460" s="1" t="s">
        <v>841</v>
      </c>
      <c r="B460" s="2">
        <v>45583</v>
      </c>
      <c r="C460" s="1" t="str">
        <f>IF(TRIM(sales_dataset[[#This Row],[SalesChannel]])="",sales_dataset!C461,PROPER(TRIM(sales_dataset[[#This Row],[SalesChannel]])))</f>
        <v>Store</v>
      </c>
      <c r="D460" s="1" t="s">
        <v>473</v>
      </c>
      <c r="E460" s="1" t="str">
        <f>IF(TRIM(sales_dataset[[#This Row],[CustomerName]])="",sales_dataset!F466, PROPER(TRIM(sales_dataset[[#This Row],[CustomerName]])))</f>
        <v>Priya</v>
      </c>
      <c r="F460" s="1" t="str">
        <f>IF(TRIM(sales_dataset[[#This Row],[City]])="", sales_dataset!$H$3, PROPER(TRIM(sales_dataset[[#This Row],[City]])))</f>
        <v>Mumbai</v>
      </c>
      <c r="G460" t="str">
        <f>PROPER(sales_dataset[[#This Row],[Region cleaned]])</f>
        <v>North</v>
      </c>
      <c r="H460" t="s">
        <v>215</v>
      </c>
      <c r="I460" t="str">
        <f>IF(TRIM(sales_dataset[[#This Row],[SalespersonName]])="",I463,PROPER(TRIM(sales_dataset[[#This Row],[SalespersonName]])))</f>
        <v>Sam</v>
      </c>
      <c r="J460" s="1" t="s">
        <v>166</v>
      </c>
      <c r="K460" s="1" t="str">
        <f>PROPER(sales_dataset[[#This Row],[ProductCategory cleaned]])</f>
        <v>Home</v>
      </c>
      <c r="L460" s="1" t="str">
        <f>PROPER(sales_dataset[[#This Row],[ProductName]])</f>
        <v/>
      </c>
      <c r="M460">
        <f>ABS(sales_dataset!W:W)</f>
        <v>3</v>
      </c>
      <c r="N460">
        <f>ABS(sales_dataset[[#This Row],[Column4]])</f>
        <v>1500</v>
      </c>
      <c r="O460">
        <f t="shared" si="7"/>
        <v>4500</v>
      </c>
    </row>
    <row r="461" spans="1:15" x14ac:dyDescent="0.3">
      <c r="A461" s="1" t="s">
        <v>842</v>
      </c>
      <c r="B461" s="2">
        <v>45446</v>
      </c>
      <c r="C461" s="1" t="str">
        <f>IF(TRIM(sales_dataset[[#This Row],[SalesChannel]])="",sales_dataset!C462,PROPER(TRIM(sales_dataset[[#This Row],[SalesChannel]])))</f>
        <v>Store</v>
      </c>
      <c r="D461" s="1" t="s">
        <v>365</v>
      </c>
      <c r="E461" s="1" t="str">
        <f>IF(TRIM(sales_dataset[[#This Row],[CustomerName]])="",sales_dataset!F467, PROPER(TRIM(sales_dataset[[#This Row],[CustomerName]])))</f>
        <v>Priya</v>
      </c>
      <c r="F461" s="1" t="str">
        <f>IF(TRIM(sales_dataset[[#This Row],[City]])="", sales_dataset!$H$3, PROPER(TRIM(sales_dataset[[#This Row],[City]])))</f>
        <v>Mumbai</v>
      </c>
      <c r="G461" t="str">
        <f>PROPER(sales_dataset[[#This Row],[Region cleaned]])</f>
        <v>East</v>
      </c>
      <c r="H461" t="s">
        <v>162</v>
      </c>
      <c r="I461" t="str">
        <f>IF(TRIM(sales_dataset[[#This Row],[SalespersonName]])="",I464,PROPER(TRIM(sales_dataset[[#This Row],[SalespersonName]])))</f>
        <v>Sam</v>
      </c>
      <c r="J461" s="1" t="s">
        <v>417</v>
      </c>
      <c r="K461" s="1" t="str">
        <f>PROPER(sales_dataset[[#This Row],[ProductCategory cleaned]])</f>
        <v>Electronics</v>
      </c>
      <c r="L461" s="1" t="str">
        <f>PROPER(sales_dataset[[#This Row],[ProductName]])</f>
        <v>Shirt</v>
      </c>
      <c r="M461">
        <f>ABS(sales_dataset!W:W)</f>
        <v>5</v>
      </c>
      <c r="N461">
        <f>ABS(sales_dataset[[#This Row],[Column4]])</f>
        <v>2000</v>
      </c>
      <c r="O461">
        <f t="shared" si="7"/>
        <v>10000</v>
      </c>
    </row>
    <row r="462" spans="1:15" x14ac:dyDescent="0.3">
      <c r="A462" s="1" t="s">
        <v>843</v>
      </c>
      <c r="B462" s="2">
        <v>45499</v>
      </c>
      <c r="C462" s="1" t="str">
        <f>IF(TRIM(sales_dataset[[#This Row],[SalesChannel]])="",sales_dataset!C463,PROPER(TRIM(sales_dataset[[#This Row],[SalesChannel]])))</f>
        <v>Online</v>
      </c>
      <c r="D462" s="1" t="s">
        <v>240</v>
      </c>
      <c r="E462" s="1" t="str">
        <f>IF(TRIM(sales_dataset[[#This Row],[CustomerName]])="",sales_dataset!F468, PROPER(TRIM(sales_dataset[[#This Row],[CustomerName]])))</f>
        <v>Amit</v>
      </c>
      <c r="F462" s="1" t="str">
        <f>IF(TRIM(sales_dataset[[#This Row],[City]])="", sales_dataset!$H$3, PROPER(TRIM(sales_dataset[[#This Row],[City]])))</f>
        <v>Bengaluru</v>
      </c>
      <c r="G462" t="str">
        <f>PROPER(sales_dataset[[#This Row],[Region cleaned]])</f>
        <v>North</v>
      </c>
      <c r="H462" t="s">
        <v>129</v>
      </c>
      <c r="I462" t="str">
        <f>IF(TRIM(sales_dataset[[#This Row],[SalespersonName]])="",I465,PROPER(TRIM(sales_dataset[[#This Row],[SalespersonName]])))</f>
        <v>Megha</v>
      </c>
      <c r="J462" s="1" t="s">
        <v>446</v>
      </c>
      <c r="K462" s="1" t="str">
        <f>PROPER(sales_dataset[[#This Row],[ProductCategory cleaned]])</f>
        <v>Electronics</v>
      </c>
      <c r="L462" s="1" t="str">
        <f>PROPER(sales_dataset[[#This Row],[ProductName]])</f>
        <v>Watch</v>
      </c>
      <c r="M462">
        <f>ABS(sales_dataset!W:W)</f>
        <v>2</v>
      </c>
      <c r="N462">
        <f>ABS(sales_dataset[[#This Row],[Column4]])</f>
        <v>2500</v>
      </c>
      <c r="O462">
        <f t="shared" si="7"/>
        <v>5000</v>
      </c>
    </row>
    <row r="463" spans="1:15" x14ac:dyDescent="0.3">
      <c r="A463" s="1" t="s">
        <v>844</v>
      </c>
      <c r="B463" s="2">
        <v>45572</v>
      </c>
      <c r="C463" s="1" t="str">
        <f>IF(TRIM(sales_dataset[[#This Row],[SalesChannel]])="",sales_dataset!C464,PROPER(TRIM(sales_dataset[[#This Row],[SalesChannel]])))</f>
        <v>Online</v>
      </c>
      <c r="D463" s="1" t="s">
        <v>845</v>
      </c>
      <c r="E463" s="1" t="str">
        <f>IF(TRIM(sales_dataset[[#This Row],[CustomerName]])="",sales_dataset!F469, PROPER(TRIM(sales_dataset[[#This Row],[CustomerName]])))</f>
        <v>Sara</v>
      </c>
      <c r="F463" s="1" t="str">
        <f>IF(TRIM(sales_dataset[[#This Row],[City]])="", sales_dataset!$H$3, PROPER(TRIM(sales_dataset[[#This Row],[City]])))</f>
        <v>Mumbai</v>
      </c>
      <c r="G463" t="str">
        <f>PROPER(sales_dataset[[#This Row],[Region cleaned]])</f>
        <v>South</v>
      </c>
      <c r="H463" t="s">
        <v>169</v>
      </c>
      <c r="I463" t="str">
        <f>IF(TRIM(sales_dataset[[#This Row],[SalespersonName]])="",I466,PROPER(TRIM(sales_dataset[[#This Row],[SalespersonName]])))</f>
        <v>Anita</v>
      </c>
      <c r="J463" s="1" t="s">
        <v>651</v>
      </c>
      <c r="K463" s="1" t="str">
        <f>PROPER(sales_dataset[[#This Row],[ProductCategory cleaned]])</f>
        <v>Clothing</v>
      </c>
      <c r="L463" s="1" t="str">
        <f>PROPER(sales_dataset[[#This Row],[ProductName]])</f>
        <v>Laptop</v>
      </c>
      <c r="M463">
        <f>ABS(sales_dataset!W:W)</f>
        <v>2</v>
      </c>
      <c r="N463">
        <f>ABS(sales_dataset[[#This Row],[Column4]])</f>
        <v>1500</v>
      </c>
      <c r="O463">
        <f t="shared" si="7"/>
        <v>3000</v>
      </c>
    </row>
    <row r="464" spans="1:15" x14ac:dyDescent="0.3">
      <c r="A464" s="1" t="s">
        <v>846</v>
      </c>
      <c r="B464" s="2">
        <v>45292</v>
      </c>
      <c r="C464" s="1" t="str">
        <f>IF(TRIM(sales_dataset[[#This Row],[SalesChannel]])="",sales_dataset!C465,PROPER(TRIM(sales_dataset[[#This Row],[SalesChannel]])))</f>
        <v>Online</v>
      </c>
      <c r="D464" s="1" t="s">
        <v>250</v>
      </c>
      <c r="E464" s="1" t="str">
        <f>IF(TRIM(sales_dataset[[#This Row],[CustomerName]])="",sales_dataset!F470, PROPER(TRIM(sales_dataset[[#This Row],[CustomerName]])))</f>
        <v>Priya</v>
      </c>
      <c r="F464" s="1" t="str">
        <f>IF(TRIM(sales_dataset[[#This Row],[City]])="", sales_dataset!$H$3, PROPER(TRIM(sales_dataset[[#This Row],[City]])))</f>
        <v>Bengaluru</v>
      </c>
      <c r="G464" t="str">
        <f>PROPER(sales_dataset[[#This Row],[Region cleaned]])</f>
        <v>North</v>
      </c>
      <c r="H464" t="s">
        <v>177</v>
      </c>
      <c r="I464" t="str">
        <f>IF(TRIM(sales_dataset[[#This Row],[SalespersonName]])="",I467,PROPER(TRIM(sales_dataset[[#This Row],[SalespersonName]])))</f>
        <v>Raj</v>
      </c>
      <c r="J464" s="1" t="s">
        <v>86</v>
      </c>
      <c r="K464" s="1" t="str">
        <f>PROPER(sales_dataset[[#This Row],[ProductCategory cleaned]])</f>
        <v>Home</v>
      </c>
      <c r="L464" s="1" t="str">
        <f>PROPER(sales_dataset[[#This Row],[ProductName]])</f>
        <v>Shirt</v>
      </c>
      <c r="M464">
        <f>ABS(sales_dataset!W:W)</f>
        <v>1</v>
      </c>
      <c r="N464">
        <f>ABS(sales_dataset[[#This Row],[Column4]])</f>
        <v>2000</v>
      </c>
      <c r="O464">
        <f t="shared" si="7"/>
        <v>2000</v>
      </c>
    </row>
    <row r="465" spans="1:15" x14ac:dyDescent="0.3">
      <c r="A465" s="1" t="s">
        <v>847</v>
      </c>
      <c r="B465" s="2">
        <v>45447</v>
      </c>
      <c r="C465" s="1" t="str">
        <f>IF(TRIM(sales_dataset[[#This Row],[SalesChannel]])="",sales_dataset!C466,PROPER(TRIM(sales_dataset[[#This Row],[SalesChannel]])))</f>
        <v>Offline</v>
      </c>
      <c r="D465" s="1" t="s">
        <v>604</v>
      </c>
      <c r="E465" s="1" t="str">
        <f>IF(TRIM(sales_dataset[[#This Row],[CustomerName]])="",sales_dataset!F471, PROPER(TRIM(sales_dataset[[#This Row],[CustomerName]])))</f>
        <v>John</v>
      </c>
      <c r="F465" s="1" t="str">
        <f>IF(TRIM(sales_dataset[[#This Row],[City]])="", sales_dataset!$H$3, PROPER(TRIM(sales_dataset[[#This Row],[City]])))</f>
        <v>Mumbai</v>
      </c>
      <c r="G465" t="str">
        <f>PROPER(sales_dataset[[#This Row],[Region cleaned]])</f>
        <v>West</v>
      </c>
      <c r="H465" t="s">
        <v>241</v>
      </c>
      <c r="I465" t="str">
        <f>IF(TRIM(sales_dataset[[#This Row],[SalespersonName]])="",I468,PROPER(TRIM(sales_dataset[[#This Row],[SalespersonName]])))</f>
        <v>Megha</v>
      </c>
      <c r="J465" s="1" t="s">
        <v>221</v>
      </c>
      <c r="K465" s="1" t="str">
        <f>PROPER(sales_dataset[[#This Row],[ProductCategory cleaned]])</f>
        <v>Electronics</v>
      </c>
      <c r="L465" s="1" t="str">
        <f>PROPER(sales_dataset[[#This Row],[ProductName]])</f>
        <v>Tv</v>
      </c>
      <c r="M465">
        <f>ABS(sales_dataset!W:W)</f>
        <v>1</v>
      </c>
      <c r="N465">
        <f>ABS(sales_dataset[[#This Row],[Column4]])</f>
        <v>100</v>
      </c>
      <c r="O465">
        <f t="shared" si="7"/>
        <v>100</v>
      </c>
    </row>
    <row r="466" spans="1:15" x14ac:dyDescent="0.3">
      <c r="A466" s="1" t="s">
        <v>848</v>
      </c>
      <c r="B466" s="2">
        <v>45438</v>
      </c>
      <c r="C466" s="1" t="str">
        <f>IF(TRIM(sales_dataset[[#This Row],[SalesChannel]])="",sales_dataset!C467,PROPER(TRIM(sales_dataset[[#This Row],[SalesChannel]])))</f>
        <v>Store</v>
      </c>
      <c r="D466" s="1" t="s">
        <v>223</v>
      </c>
      <c r="E466" s="1" t="str">
        <f>IF(TRIM(sales_dataset[[#This Row],[CustomerName]])="",sales_dataset!F472, PROPER(TRIM(sales_dataset[[#This Row],[CustomerName]])))</f>
        <v>Amit</v>
      </c>
      <c r="F466" s="1" t="str">
        <f>IF(TRIM(sales_dataset[[#This Row],[City]])="", sales_dataset!$H$3, PROPER(TRIM(sales_dataset[[#This Row],[City]])))</f>
        <v>Hyderabad</v>
      </c>
      <c r="G466" t="str">
        <f>PROPER(sales_dataset[[#This Row],[Region cleaned]])</f>
        <v>North</v>
      </c>
      <c r="H466" t="s">
        <v>227</v>
      </c>
      <c r="I466" t="str">
        <f>IF(TRIM(sales_dataset[[#This Row],[SalespersonName]])="",I469,PROPER(TRIM(sales_dataset[[#This Row],[SalespersonName]])))</f>
        <v>Kevin</v>
      </c>
      <c r="J466" s="1" t="s">
        <v>221</v>
      </c>
      <c r="K466" s="1" t="str">
        <f>PROPER(sales_dataset[[#This Row],[ProductCategory cleaned]])</f>
        <v>Clothing</v>
      </c>
      <c r="L466" s="1" t="str">
        <f>PROPER(sales_dataset[[#This Row],[ProductName]])</f>
        <v>Sofa</v>
      </c>
      <c r="M466">
        <f>ABS(sales_dataset!W:W)</f>
        <v>4</v>
      </c>
      <c r="N466">
        <f>ABS(sales_dataset[[#This Row],[Column4]])</f>
        <v>2000</v>
      </c>
      <c r="O466">
        <f t="shared" si="7"/>
        <v>8000</v>
      </c>
    </row>
    <row r="467" spans="1:15" x14ac:dyDescent="0.3">
      <c r="A467" s="1" t="s">
        <v>849</v>
      </c>
      <c r="B467" s="2">
        <v>45399</v>
      </c>
      <c r="C467" s="1" t="str">
        <f>IF(TRIM(sales_dataset[[#This Row],[SalesChannel]])="",sales_dataset!C468,PROPER(TRIM(sales_dataset[[#This Row],[SalesChannel]])))</f>
        <v>Store</v>
      </c>
      <c r="D467" s="1" t="s">
        <v>253</v>
      </c>
      <c r="E467" s="1" t="str">
        <f>IF(TRIM(sales_dataset[[#This Row],[CustomerName]])="",sales_dataset!F473, PROPER(TRIM(sales_dataset[[#This Row],[CustomerName]])))</f>
        <v>priya</v>
      </c>
      <c r="F467" s="1" t="str">
        <f>IF(TRIM(sales_dataset[[#This Row],[City]])="", sales_dataset!$H$3, PROPER(TRIM(sales_dataset[[#This Row],[City]])))</f>
        <v>Mumbai</v>
      </c>
      <c r="G467" t="str">
        <f>PROPER(sales_dataset[[#This Row],[Region cleaned]])</f>
        <v>West</v>
      </c>
      <c r="H467" t="s">
        <v>376</v>
      </c>
      <c r="I467" t="str">
        <f>IF(TRIM(sales_dataset[[#This Row],[SalespersonName]])="",I470,PROPER(TRIM(sales_dataset[[#This Row],[SalespersonName]])))</f>
        <v>Raj</v>
      </c>
      <c r="J467" s="1" t="s">
        <v>377</v>
      </c>
      <c r="K467" s="1" t="str">
        <f>PROPER(sales_dataset[[#This Row],[ProductCategory cleaned]])</f>
        <v>Home</v>
      </c>
      <c r="L467" s="1" t="str">
        <f>PROPER(sales_dataset[[#This Row],[ProductName]])</f>
        <v>Laptop</v>
      </c>
      <c r="M467">
        <f>ABS(sales_dataset!W:W)</f>
        <v>2</v>
      </c>
      <c r="N467">
        <f>ABS(sales_dataset[[#This Row],[Column4]])</f>
        <v>1500</v>
      </c>
      <c r="O467">
        <f t="shared" si="7"/>
        <v>3000</v>
      </c>
    </row>
    <row r="468" spans="1:15" x14ac:dyDescent="0.3">
      <c r="A468" s="1" t="s">
        <v>850</v>
      </c>
      <c r="B468" s="2">
        <v>45512</v>
      </c>
      <c r="C468" s="1" t="str">
        <f>IF(TRIM(sales_dataset[[#This Row],[SalesChannel]])="",sales_dataset!C469,PROPER(TRIM(sales_dataset[[#This Row],[SalesChannel]])))</f>
        <v>Online</v>
      </c>
      <c r="D468" s="1" t="s">
        <v>527</v>
      </c>
      <c r="E468" s="1" t="str">
        <f>IF(TRIM(sales_dataset[[#This Row],[CustomerName]])="",sales_dataset!F474, PROPER(TRIM(sales_dataset[[#This Row],[CustomerName]])))</f>
        <v>priya</v>
      </c>
      <c r="F468" s="1" t="str">
        <f>IF(TRIM(sales_dataset[[#This Row],[City]])="", sales_dataset!$H$3, PROPER(TRIM(sales_dataset[[#This Row],[City]])))</f>
        <v>Chennai</v>
      </c>
      <c r="G468" t="str">
        <f>PROPER(sales_dataset[[#This Row],[Region cleaned]])</f>
        <v>North</v>
      </c>
      <c r="H468" t="s">
        <v>190</v>
      </c>
      <c r="I468" t="str">
        <f>IF(TRIM(sales_dataset[[#This Row],[SalespersonName]])="",I471,PROPER(TRIM(sales_dataset[[#This Row],[SalespersonName]])))</f>
        <v>Anita</v>
      </c>
      <c r="J468" s="1" t="s">
        <v>308</v>
      </c>
      <c r="K468" s="1" t="str">
        <f>PROPER(sales_dataset[[#This Row],[ProductCategory cleaned]])</f>
        <v>Home</v>
      </c>
      <c r="L468" s="1" t="str">
        <f>PROPER(sales_dataset[[#This Row],[ProductName]])</f>
        <v>Shirt</v>
      </c>
      <c r="M468">
        <f>ABS(sales_dataset!W:W)</f>
        <v>4</v>
      </c>
      <c r="N468">
        <f>ABS(sales_dataset[[#This Row],[Column4]])</f>
        <v>2500</v>
      </c>
      <c r="O468">
        <f t="shared" si="7"/>
        <v>10000</v>
      </c>
    </row>
    <row r="469" spans="1:15" x14ac:dyDescent="0.3">
      <c r="A469" s="1" t="s">
        <v>851</v>
      </c>
      <c r="B469" s="2">
        <v>45588</v>
      </c>
      <c r="C469" s="1" t="str">
        <f>IF(TRIM(sales_dataset[[#This Row],[SalesChannel]])="",sales_dataset!C470,PROPER(TRIM(sales_dataset[[#This Row],[SalesChannel]])))</f>
        <v>Online</v>
      </c>
      <c r="D469" s="1" t="s">
        <v>450</v>
      </c>
      <c r="E469" s="1" t="str">
        <f>IF(TRIM(sales_dataset[[#This Row],[CustomerName]])="",sales_dataset!F475, PROPER(TRIM(sales_dataset[[#This Row],[CustomerName]])))</f>
        <v>Sara</v>
      </c>
      <c r="F469" s="1" t="str">
        <f>IF(TRIM(sales_dataset[[#This Row],[City]])="", sales_dataset!$H$3, PROPER(TRIM(sales_dataset[[#This Row],[City]])))</f>
        <v>Bengaluru</v>
      </c>
      <c r="G469" t="str">
        <f>PROPER(sales_dataset[[#This Row],[Region cleaned]])</f>
        <v>West</v>
      </c>
      <c r="H469" t="s">
        <v>193</v>
      </c>
      <c r="I469" t="str">
        <f>IF(TRIM(sales_dataset[[#This Row],[SalespersonName]])="",I472,PROPER(TRIM(sales_dataset[[#This Row],[SalespersonName]])))</f>
        <v>Kevin</v>
      </c>
      <c r="J469" s="1" t="s">
        <v>137</v>
      </c>
      <c r="K469" s="1" t="str">
        <f>PROPER(sales_dataset[[#This Row],[ProductCategory cleaned]])</f>
        <v>Clothing</v>
      </c>
      <c r="L469" s="1" t="str">
        <f>PROPER(sales_dataset[[#This Row],[ProductName]])</f>
        <v>Shirt</v>
      </c>
      <c r="M469">
        <f>ABS(sales_dataset!W:W)</f>
        <v>1</v>
      </c>
      <c r="N469">
        <f>ABS(sales_dataset[[#This Row],[Column4]])</f>
        <v>500</v>
      </c>
      <c r="O469">
        <f t="shared" si="7"/>
        <v>500</v>
      </c>
    </row>
    <row r="470" spans="1:15" x14ac:dyDescent="0.3">
      <c r="A470" s="1" t="s">
        <v>852</v>
      </c>
      <c r="B470" s="2">
        <v>45456</v>
      </c>
      <c r="C470" s="1" t="str">
        <f>IF(TRIM(sales_dataset[[#This Row],[SalesChannel]])="",sales_dataset!C471,PROPER(TRIM(sales_dataset[[#This Row],[SalesChannel]])))</f>
        <v>Online</v>
      </c>
      <c r="D470" s="1" t="s">
        <v>551</v>
      </c>
      <c r="E470" s="1" t="str">
        <f>IF(TRIM(sales_dataset[[#This Row],[CustomerName]])="",sales_dataset!F476, PROPER(TRIM(sales_dataset[[#This Row],[CustomerName]])))</f>
        <v>Amit</v>
      </c>
      <c r="F470" s="1" t="str">
        <f>IF(TRIM(sales_dataset[[#This Row],[City]])="", sales_dataset!$H$3, PROPER(TRIM(sales_dataset[[#This Row],[City]])))</f>
        <v>Bengaluru</v>
      </c>
      <c r="G470" t="str">
        <f>PROPER(sales_dataset[[#This Row],[Region cleaned]])</f>
        <v>East</v>
      </c>
      <c r="H470" t="s">
        <v>282</v>
      </c>
      <c r="I470" t="str">
        <f>IF(TRIM(sales_dataset[[#This Row],[SalespersonName]])="",I473,PROPER(TRIM(sales_dataset[[#This Row],[SalespersonName]])))</f>
        <v>Sam</v>
      </c>
      <c r="J470" s="1" t="s">
        <v>130</v>
      </c>
      <c r="K470" s="1" t="str">
        <f>PROPER(sales_dataset[[#This Row],[ProductCategory cleaned]])</f>
        <v>Electronics</v>
      </c>
      <c r="L470" s="1" t="str">
        <f>PROPER(sales_dataset[[#This Row],[ProductName]])</f>
        <v>Shirt</v>
      </c>
      <c r="M470">
        <f>ABS(sales_dataset!W:W)</f>
        <v>1</v>
      </c>
      <c r="N470">
        <f>ABS(sales_dataset[[#This Row],[Column4]])</f>
        <v>2500</v>
      </c>
      <c r="O470">
        <f t="shared" si="7"/>
        <v>2500</v>
      </c>
    </row>
    <row r="471" spans="1:15" x14ac:dyDescent="0.3">
      <c r="A471" s="1" t="s">
        <v>853</v>
      </c>
      <c r="B471" s="2">
        <v>45530</v>
      </c>
      <c r="C471" s="1" t="str">
        <f>IF(TRIM(sales_dataset[[#This Row],[SalesChannel]])="",sales_dataset!C472,PROPER(TRIM(sales_dataset[[#This Row],[SalesChannel]])))</f>
        <v>Offline</v>
      </c>
      <c r="D471" s="1" t="s">
        <v>335</v>
      </c>
      <c r="E471" s="1" t="str">
        <f>IF(TRIM(sales_dataset[[#This Row],[CustomerName]])="",sales_dataset!F477, PROPER(TRIM(sales_dataset[[#This Row],[CustomerName]])))</f>
        <v>Priya</v>
      </c>
      <c r="F471" s="1" t="str">
        <f>IF(TRIM(sales_dataset[[#This Row],[City]])="", sales_dataset!$H$3, PROPER(TRIM(sales_dataset[[#This Row],[City]])))</f>
        <v>Mumbai</v>
      </c>
      <c r="G471" t="str">
        <f>PROPER(sales_dataset[[#This Row],[Region cleaned]])</f>
        <v>North</v>
      </c>
      <c r="H471" t="s">
        <v>258</v>
      </c>
      <c r="I471" t="str">
        <f>IF(TRIM(sales_dataset[[#This Row],[SalespersonName]])="",I474,PROPER(TRIM(sales_dataset[[#This Row],[SalespersonName]])))</f>
        <v>Anita</v>
      </c>
      <c r="J471" s="1" t="s">
        <v>163</v>
      </c>
      <c r="K471" s="1" t="str">
        <f>PROPER(sales_dataset[[#This Row],[ProductCategory cleaned]])</f>
        <v>Home</v>
      </c>
      <c r="L471" s="1" t="str">
        <f>PROPER(sales_dataset[[#This Row],[ProductName]])</f>
        <v/>
      </c>
      <c r="M471">
        <f>ABS(sales_dataset!W:W)</f>
        <v>2</v>
      </c>
      <c r="N471">
        <f>ABS(sales_dataset[[#This Row],[Column4]])</f>
        <v>500</v>
      </c>
      <c r="O471">
        <f t="shared" si="7"/>
        <v>1000</v>
      </c>
    </row>
    <row r="472" spans="1:15" x14ac:dyDescent="0.3">
      <c r="A472" s="1" t="s">
        <v>854</v>
      </c>
      <c r="B472" s="2">
        <v>45518</v>
      </c>
      <c r="C472" s="1" t="str">
        <f>IF(TRIM(sales_dataset[[#This Row],[SalesChannel]])="",sales_dataset!C473,PROPER(TRIM(sales_dataset[[#This Row],[SalesChannel]])))</f>
        <v>Store</v>
      </c>
      <c r="D472" s="1" t="s">
        <v>586</v>
      </c>
      <c r="E472" s="1" t="str">
        <f>IF(TRIM(sales_dataset[[#This Row],[CustomerName]])="",sales_dataset!F478, PROPER(TRIM(sales_dataset[[#This Row],[CustomerName]])))</f>
        <v>John</v>
      </c>
      <c r="F472" s="1" t="str">
        <f>IF(TRIM(sales_dataset[[#This Row],[City]])="", sales_dataset!$H$3, PROPER(TRIM(sales_dataset[[#This Row],[City]])))</f>
        <v>Delhi</v>
      </c>
      <c r="G472" t="str">
        <f>PROPER(sales_dataset[[#This Row],[Region cleaned]])</f>
        <v>East</v>
      </c>
      <c r="H472" t="s">
        <v>233</v>
      </c>
      <c r="I472" t="str">
        <f>IF(TRIM(sales_dataset[[#This Row],[SalespersonName]])="",I475,PROPER(TRIM(sales_dataset[[#This Row],[SalespersonName]])))</f>
        <v>Kevin</v>
      </c>
      <c r="J472" s="1" t="s">
        <v>609</v>
      </c>
      <c r="K472" s="1" t="str">
        <f>PROPER(sales_dataset[[#This Row],[ProductCategory cleaned]])</f>
        <v>Electronics</v>
      </c>
      <c r="L472" s="1" t="str">
        <f>PROPER(sales_dataset[[#This Row],[ProductName]])</f>
        <v>Watch</v>
      </c>
      <c r="M472">
        <f>ABS(sales_dataset!W:W)</f>
        <v>0</v>
      </c>
      <c r="N472">
        <f>ABS(sales_dataset[[#This Row],[Column4]])</f>
        <v>2500</v>
      </c>
      <c r="O472">
        <f t="shared" si="7"/>
        <v>0</v>
      </c>
    </row>
    <row r="473" spans="1:15" x14ac:dyDescent="0.3">
      <c r="A473" s="1" t="s">
        <v>855</v>
      </c>
      <c r="B473" s="2">
        <v>45518</v>
      </c>
      <c r="C473" s="1" t="str">
        <f>IF(TRIM(sales_dataset[[#This Row],[SalesChannel]])="",sales_dataset!C474,PROPER(TRIM(sales_dataset[[#This Row],[SalesChannel]])))</f>
        <v>Store</v>
      </c>
      <c r="D473" s="1" t="s">
        <v>339</v>
      </c>
      <c r="E473" s="1" t="str">
        <f>IF(TRIM(sales_dataset[[#This Row],[CustomerName]])="",sales_dataset!F479, PROPER(TRIM(sales_dataset[[#This Row],[CustomerName]])))</f>
        <v>Priya</v>
      </c>
      <c r="F473" s="1" t="str">
        <f>IF(TRIM(sales_dataset[[#This Row],[City]])="", sales_dataset!$H$3, PROPER(TRIM(sales_dataset[[#This Row],[City]])))</f>
        <v>Mumbai</v>
      </c>
      <c r="G473" t="str">
        <f>PROPER(sales_dataset[[#This Row],[Region cleaned]])</f>
        <v>West</v>
      </c>
      <c r="H473" t="s">
        <v>195</v>
      </c>
      <c r="I473" t="str">
        <f>IF(TRIM(sales_dataset[[#This Row],[SalespersonName]])="",I476,PROPER(TRIM(sales_dataset[[#This Row],[SalespersonName]])))</f>
        <v>Anita</v>
      </c>
      <c r="J473" s="1" t="s">
        <v>265</v>
      </c>
      <c r="K473" s="1" t="str">
        <f>PROPER(sales_dataset[[#This Row],[ProductCategory cleaned]])</f>
        <v>Electronics</v>
      </c>
      <c r="L473" s="1" t="str">
        <f>PROPER(sales_dataset[[#This Row],[ProductName]])</f>
        <v/>
      </c>
      <c r="M473">
        <f>ABS(sales_dataset!W:W)</f>
        <v>3</v>
      </c>
      <c r="N473">
        <f>ABS(sales_dataset[[#This Row],[Column4]])</f>
        <v>2000</v>
      </c>
      <c r="O473">
        <f t="shared" si="7"/>
        <v>6000</v>
      </c>
    </row>
    <row r="474" spans="1:15" x14ac:dyDescent="0.3">
      <c r="A474" s="1" t="s">
        <v>856</v>
      </c>
      <c r="B474" s="2">
        <v>45401</v>
      </c>
      <c r="C474" s="1" t="str">
        <f>IF(TRIM(sales_dataset[[#This Row],[SalesChannel]])="",sales_dataset!C475,PROPER(TRIM(sales_dataset[[#This Row],[SalesChannel]])))</f>
        <v>Online</v>
      </c>
      <c r="D474" s="1" t="s">
        <v>425</v>
      </c>
      <c r="E474" s="1" t="str">
        <f>IF(TRIM(sales_dataset[[#This Row],[CustomerName]])="",sales_dataset!F480, PROPER(TRIM(sales_dataset[[#This Row],[CustomerName]])))</f>
        <v>Priya</v>
      </c>
      <c r="F474" s="1" t="str">
        <f>IF(TRIM(sales_dataset[[#This Row],[City]])="", sales_dataset!$H$3, PROPER(TRIM(sales_dataset[[#This Row],[City]])))</f>
        <v>Hyderabad</v>
      </c>
      <c r="G474" t="str">
        <f>PROPER(sales_dataset[[#This Row],[Region cleaned]])</f>
        <v>East</v>
      </c>
      <c r="H474" t="s">
        <v>413</v>
      </c>
      <c r="I474" t="str">
        <f>IF(TRIM(sales_dataset[[#This Row],[SalespersonName]])="",I477,PROPER(TRIM(sales_dataset[[#This Row],[SalespersonName]])))</f>
        <v>Kevin</v>
      </c>
      <c r="J474" s="1" t="s">
        <v>130</v>
      </c>
      <c r="K474" s="1" t="str">
        <f>PROPER(sales_dataset[[#This Row],[ProductCategory cleaned]])</f>
        <v>Home</v>
      </c>
      <c r="L474" s="1" t="str">
        <f>PROPER(sales_dataset[[#This Row],[ProductName]])</f>
        <v>Laptop</v>
      </c>
      <c r="M474">
        <f>ABS(sales_dataset!W:W)</f>
        <v>1</v>
      </c>
      <c r="N474">
        <f>ABS(sales_dataset[[#This Row],[Column4]])</f>
        <v>100</v>
      </c>
      <c r="O474">
        <f t="shared" si="7"/>
        <v>100</v>
      </c>
    </row>
    <row r="475" spans="1:15" x14ac:dyDescent="0.3">
      <c r="A475" s="1" t="s">
        <v>857</v>
      </c>
      <c r="B475" s="2">
        <v>45553</v>
      </c>
      <c r="C475" s="1" t="str">
        <f>IF(TRIM(sales_dataset[[#This Row],[SalesChannel]])="",sales_dataset!C476,PROPER(TRIM(sales_dataset[[#This Row],[SalesChannel]])))</f>
        <v>Online</v>
      </c>
      <c r="D475" s="1" t="s">
        <v>381</v>
      </c>
      <c r="E475" s="1" t="str">
        <f>IF(TRIM(sales_dataset[[#This Row],[CustomerName]])="",sales_dataset!F481, PROPER(TRIM(sales_dataset[[#This Row],[CustomerName]])))</f>
        <v>David</v>
      </c>
      <c r="F475" s="1" t="str">
        <f>IF(TRIM(sales_dataset[[#This Row],[City]])="", sales_dataset!$H$3, PROPER(TRIM(sales_dataset[[#This Row],[City]])))</f>
        <v>Delhi</v>
      </c>
      <c r="G475" t="str">
        <f>PROPER(sales_dataset[[#This Row],[Region cleaned]])</f>
        <v>West</v>
      </c>
      <c r="H475" t="s">
        <v>282</v>
      </c>
      <c r="I475" t="str">
        <f>IF(TRIM(sales_dataset[[#This Row],[SalespersonName]])="",I478,PROPER(TRIM(sales_dataset[[#This Row],[SalespersonName]])))</f>
        <v>Anita</v>
      </c>
      <c r="J475" s="1" t="s">
        <v>245</v>
      </c>
      <c r="K475" s="1" t="str">
        <f>PROPER(sales_dataset[[#This Row],[ProductCategory cleaned]])</f>
        <v>Clothing</v>
      </c>
      <c r="L475" s="1" t="str">
        <f>PROPER(sales_dataset[[#This Row],[ProductName]])</f>
        <v>Shirt</v>
      </c>
      <c r="M475">
        <f>ABS(sales_dataset!W:W)</f>
        <v>1</v>
      </c>
      <c r="N475">
        <f>ABS(sales_dataset[[#This Row],[Column4]])</f>
        <v>500</v>
      </c>
      <c r="O475">
        <f t="shared" si="7"/>
        <v>500</v>
      </c>
    </row>
    <row r="476" spans="1:15" x14ac:dyDescent="0.3">
      <c r="A476" s="1" t="s">
        <v>858</v>
      </c>
      <c r="B476" s="2">
        <v>45534</v>
      </c>
      <c r="C476" s="1" t="str">
        <f>IF(TRIM(sales_dataset[[#This Row],[SalesChannel]])="",sales_dataset!C477,PROPER(TRIM(sales_dataset[[#This Row],[SalesChannel]])))</f>
        <v>Online</v>
      </c>
      <c r="D476" s="1" t="s">
        <v>640</v>
      </c>
      <c r="E476" s="1" t="str">
        <f>IF(TRIM(sales_dataset[[#This Row],[CustomerName]])="",sales_dataset!F482, PROPER(TRIM(sales_dataset[[#This Row],[CustomerName]])))</f>
        <v>Amit</v>
      </c>
      <c r="F476" s="1" t="str">
        <f>IF(TRIM(sales_dataset[[#This Row],[City]])="", sales_dataset!$H$3, PROPER(TRIM(sales_dataset[[#This Row],[City]])))</f>
        <v>Delhi</v>
      </c>
      <c r="G476" t="str">
        <f>PROPER(sales_dataset[[#This Row],[Region cleaned]])</f>
        <v>South</v>
      </c>
      <c r="H476" t="s">
        <v>224</v>
      </c>
      <c r="I476" t="str">
        <f>IF(TRIM(sales_dataset[[#This Row],[SalespersonName]])="",I479,PROPER(TRIM(sales_dataset[[#This Row],[SalespersonName]])))</f>
        <v>Kevin</v>
      </c>
      <c r="J476" s="1" t="s">
        <v>123</v>
      </c>
      <c r="K476" s="1" t="str">
        <f>PROPER(sales_dataset[[#This Row],[ProductCategory cleaned]])</f>
        <v>Clothing</v>
      </c>
      <c r="L476" s="1" t="str">
        <f>PROPER(sales_dataset[[#This Row],[ProductName]])</f>
        <v>Shirt</v>
      </c>
      <c r="M476">
        <f>ABS(sales_dataset!W:W)</f>
        <v>4</v>
      </c>
      <c r="N476">
        <f>ABS(sales_dataset[[#This Row],[Column4]])</f>
        <v>100</v>
      </c>
      <c r="O476">
        <f t="shared" si="7"/>
        <v>400</v>
      </c>
    </row>
    <row r="477" spans="1:15" x14ac:dyDescent="0.3">
      <c r="A477" s="1" t="s">
        <v>859</v>
      </c>
      <c r="B477" s="2">
        <v>45378</v>
      </c>
      <c r="C477" s="1" t="str">
        <f>IF(TRIM(sales_dataset[[#This Row],[SalesChannel]])="",sales_dataset!C478,PROPER(TRIM(sales_dataset[[#This Row],[SalesChannel]])))</f>
        <v>Offline</v>
      </c>
      <c r="D477" s="1" t="s">
        <v>703</v>
      </c>
      <c r="E477" s="1" t="str">
        <f>IF(TRIM(sales_dataset[[#This Row],[CustomerName]])="",sales_dataset!F483, PROPER(TRIM(sales_dataset[[#This Row],[CustomerName]])))</f>
        <v>Amit</v>
      </c>
      <c r="F477" s="1" t="str">
        <f>IF(TRIM(sales_dataset[[#This Row],[City]])="", sales_dataset!$H$3, PROPER(TRIM(sales_dataset[[#This Row],[City]])))</f>
        <v>Bengaluru</v>
      </c>
      <c r="G477" t="str">
        <f>PROPER(sales_dataset[[#This Row],[Region cleaned]])</f>
        <v>East</v>
      </c>
      <c r="H477" t="s">
        <v>93</v>
      </c>
      <c r="I477" t="str">
        <f>IF(TRIM(sales_dataset[[#This Row],[SalespersonName]])="",I480,PROPER(TRIM(sales_dataset[[#This Row],[SalespersonName]])))</f>
        <v>Sam</v>
      </c>
      <c r="J477" s="1" t="s">
        <v>344</v>
      </c>
      <c r="K477" s="1" t="str">
        <f>PROPER(sales_dataset[[#This Row],[ProductCategory cleaned]])</f>
        <v>Electronics</v>
      </c>
      <c r="L477" s="1" t="str">
        <f>PROPER(sales_dataset[[#This Row],[ProductName]])</f>
        <v>Shirt</v>
      </c>
      <c r="M477">
        <f>ABS(sales_dataset!W:W)</f>
        <v>1</v>
      </c>
      <c r="N477">
        <f>ABS(sales_dataset[[#This Row],[Column4]])</f>
        <v>1500</v>
      </c>
      <c r="O477">
        <f t="shared" si="7"/>
        <v>1500</v>
      </c>
    </row>
    <row r="478" spans="1:15" x14ac:dyDescent="0.3">
      <c r="A478" s="1" t="s">
        <v>860</v>
      </c>
      <c r="B478" s="2">
        <v>45335</v>
      </c>
      <c r="C478" s="1" t="str">
        <f>IF(TRIM(sales_dataset[[#This Row],[SalesChannel]])="",sales_dataset!C479,PROPER(TRIM(sales_dataset[[#This Row],[SalesChannel]])))</f>
        <v>Store</v>
      </c>
      <c r="D478" s="1" t="s">
        <v>861</v>
      </c>
      <c r="E478" s="1" t="str">
        <f>IF(TRIM(sales_dataset[[#This Row],[CustomerName]])="",sales_dataset!F484, PROPER(TRIM(sales_dataset[[#This Row],[CustomerName]])))</f>
        <v>John</v>
      </c>
      <c r="F478" s="1" t="str">
        <f>IF(TRIM(sales_dataset[[#This Row],[City]])="", sales_dataset!$H$3, PROPER(TRIM(sales_dataset[[#This Row],[City]])))</f>
        <v>Mumbai</v>
      </c>
      <c r="G478" t="str">
        <f>PROPER(sales_dataset[[#This Row],[Region cleaned]])</f>
        <v>West</v>
      </c>
      <c r="H478" t="s">
        <v>282</v>
      </c>
      <c r="I478" t="str">
        <f>IF(TRIM(sales_dataset[[#This Row],[SalespersonName]])="",I481,PROPER(TRIM(sales_dataset[[#This Row],[SalespersonName]])))</f>
        <v>Megha</v>
      </c>
      <c r="J478" s="1" t="s">
        <v>115</v>
      </c>
      <c r="K478" s="1" t="str">
        <f>PROPER(sales_dataset[[#This Row],[ProductCategory cleaned]])</f>
        <v>Home</v>
      </c>
      <c r="L478" s="1" t="str">
        <f>PROPER(sales_dataset[[#This Row],[ProductName]])</f>
        <v>Tv</v>
      </c>
      <c r="M478">
        <f>ABS(sales_dataset!W:W)</f>
        <v>4</v>
      </c>
      <c r="N478">
        <f>ABS(sales_dataset[[#This Row],[Column4]])</f>
        <v>1500</v>
      </c>
      <c r="O478">
        <f t="shared" si="7"/>
        <v>6000</v>
      </c>
    </row>
    <row r="479" spans="1:15" x14ac:dyDescent="0.3">
      <c r="A479" s="1" t="s">
        <v>862</v>
      </c>
      <c r="B479" s="2">
        <v>45437</v>
      </c>
      <c r="C479" s="1" t="str">
        <f>IF(TRIM(sales_dataset[[#This Row],[SalesChannel]])="",sales_dataset!C480,PROPER(TRIM(sales_dataset[[#This Row],[SalesChannel]])))</f>
        <v>Store</v>
      </c>
      <c r="D479" s="1" t="s">
        <v>315</v>
      </c>
      <c r="E479" s="1" t="str">
        <f>IF(TRIM(sales_dataset[[#This Row],[CustomerName]])="",sales_dataset!F485, PROPER(TRIM(sales_dataset[[#This Row],[CustomerName]])))</f>
        <v>Priya</v>
      </c>
      <c r="F479" s="1" t="str">
        <f>IF(TRIM(sales_dataset[[#This Row],[City]])="", sales_dataset!$H$3, PROPER(TRIM(sales_dataset[[#This Row],[City]])))</f>
        <v>Hyderabad</v>
      </c>
      <c r="G479" t="str">
        <f>PROPER(sales_dataset[[#This Row],[Region cleaned]])</f>
        <v>East</v>
      </c>
      <c r="H479" t="s">
        <v>218</v>
      </c>
      <c r="I479" t="str">
        <f>IF(TRIM(sales_dataset[[#This Row],[SalespersonName]])="",I482,PROPER(TRIM(sales_dataset[[#This Row],[SalespersonName]])))</f>
        <v>Kevin</v>
      </c>
      <c r="J479" s="1" t="s">
        <v>480</v>
      </c>
      <c r="K479" s="1" t="str">
        <f>PROPER(sales_dataset[[#This Row],[ProductCategory cleaned]])</f>
        <v>Home</v>
      </c>
      <c r="L479" s="1" t="str">
        <f>PROPER(sales_dataset[[#This Row],[ProductName]])</f>
        <v>Laptop</v>
      </c>
      <c r="M479">
        <f>ABS(sales_dataset!W:W)</f>
        <v>1</v>
      </c>
      <c r="N479">
        <f>ABS(sales_dataset[[#This Row],[Column4]])</f>
        <v>100</v>
      </c>
      <c r="O479">
        <f t="shared" si="7"/>
        <v>100</v>
      </c>
    </row>
    <row r="480" spans="1:15" x14ac:dyDescent="0.3">
      <c r="A480" s="1" t="s">
        <v>863</v>
      </c>
      <c r="B480" s="2">
        <v>45555</v>
      </c>
      <c r="C480" s="1" t="str">
        <f>IF(TRIM(sales_dataset[[#This Row],[SalesChannel]])="",sales_dataset!C481,PROPER(TRIM(sales_dataset[[#This Row],[SalesChannel]])))</f>
        <v>Online</v>
      </c>
      <c r="D480" s="1" t="s">
        <v>691</v>
      </c>
      <c r="E480" s="1" t="str">
        <f>IF(TRIM(sales_dataset[[#This Row],[CustomerName]])="",sales_dataset!F486, PROPER(TRIM(sales_dataset[[#This Row],[CustomerName]])))</f>
        <v>John</v>
      </c>
      <c r="F480" s="1" t="str">
        <f>IF(TRIM(sales_dataset[[#This Row],[City]])="", sales_dataset!$H$3, PROPER(TRIM(sales_dataset[[#This Row],[City]])))</f>
        <v>Mumbai</v>
      </c>
      <c r="G480" t="str">
        <f>PROPER(sales_dataset[[#This Row],[Region cleaned]])</f>
        <v>West</v>
      </c>
      <c r="H480" t="s">
        <v>258</v>
      </c>
      <c r="I480" t="str">
        <f>IF(TRIM(sales_dataset[[#This Row],[SalespersonName]])="",I483,PROPER(TRIM(sales_dataset[[#This Row],[SalespersonName]])))</f>
        <v>Kevin</v>
      </c>
      <c r="J480" s="1" t="s">
        <v>22</v>
      </c>
      <c r="K480" s="1" t="str">
        <f>PROPER(sales_dataset[[#This Row],[ProductCategory cleaned]])</f>
        <v>Electronics</v>
      </c>
      <c r="L480" s="1" t="str">
        <f>PROPER(sales_dataset[[#This Row],[ProductName]])</f>
        <v>Shirt</v>
      </c>
      <c r="M480">
        <f>ABS(sales_dataset!W:W)</f>
        <v>0</v>
      </c>
      <c r="N480">
        <f>ABS(sales_dataset[[#This Row],[Column4]])</f>
        <v>1500</v>
      </c>
      <c r="O480">
        <f t="shared" si="7"/>
        <v>0</v>
      </c>
    </row>
    <row r="481" spans="1:15" x14ac:dyDescent="0.3">
      <c r="A481" s="1" t="s">
        <v>864</v>
      </c>
      <c r="B481" s="2">
        <v>45463</v>
      </c>
      <c r="C481" s="1" t="str">
        <f>IF(TRIM(sales_dataset[[#This Row],[SalesChannel]])="",sales_dataset!C482,PROPER(TRIM(sales_dataset[[#This Row],[SalesChannel]])))</f>
        <v>Online</v>
      </c>
      <c r="D481" s="1" t="s">
        <v>310</v>
      </c>
      <c r="E481" s="1" t="str">
        <f>IF(TRIM(sales_dataset[[#This Row],[CustomerName]])="",sales_dataset!F487, PROPER(TRIM(sales_dataset[[#This Row],[CustomerName]])))</f>
        <v>John</v>
      </c>
      <c r="F481" s="1" t="str">
        <f>IF(TRIM(sales_dataset[[#This Row],[City]])="", sales_dataset!$H$3, PROPER(TRIM(sales_dataset[[#This Row],[City]])))</f>
        <v>Delhi</v>
      </c>
      <c r="G481" t="str">
        <f>PROPER(sales_dataset[[#This Row],[Region cleaned]])</f>
        <v>North</v>
      </c>
      <c r="H481" t="s">
        <v>99</v>
      </c>
      <c r="I481" t="str">
        <f>IF(TRIM(sales_dataset[[#This Row],[SalespersonName]])="",I484,PROPER(TRIM(sales_dataset[[#This Row],[SalespersonName]])))</f>
        <v>Sam</v>
      </c>
      <c r="J481" s="1" t="s">
        <v>276</v>
      </c>
      <c r="K481" s="1" t="str">
        <f>PROPER(sales_dataset[[#This Row],[ProductCategory cleaned]])</f>
        <v>Electronics</v>
      </c>
      <c r="L481" s="1" t="str">
        <f>PROPER(sales_dataset[[#This Row],[ProductName]])</f>
        <v>Laptop</v>
      </c>
      <c r="M481">
        <f>ABS(sales_dataset!W:W)</f>
        <v>5</v>
      </c>
      <c r="N481">
        <f>ABS(sales_dataset[[#This Row],[Column4]])</f>
        <v>2500</v>
      </c>
      <c r="O481">
        <f t="shared" si="7"/>
        <v>12500</v>
      </c>
    </row>
    <row r="482" spans="1:15" x14ac:dyDescent="0.3">
      <c r="A482" s="1" t="s">
        <v>865</v>
      </c>
      <c r="B482" s="2">
        <v>45339</v>
      </c>
      <c r="C482" s="1" t="str">
        <f>IF(TRIM(sales_dataset[[#This Row],[SalesChannel]])="",sales_dataset!C483,PROPER(TRIM(sales_dataset[[#This Row],[SalesChannel]])))</f>
        <v>Online</v>
      </c>
      <c r="D482" s="1" t="s">
        <v>313</v>
      </c>
      <c r="E482" s="1" t="str">
        <f>IF(TRIM(sales_dataset[[#This Row],[CustomerName]])="",sales_dataset!F488, PROPER(TRIM(sales_dataset[[#This Row],[CustomerName]])))</f>
        <v>David</v>
      </c>
      <c r="F482" s="1" t="str">
        <f>IF(TRIM(sales_dataset[[#This Row],[City]])="", sales_dataset!$H$3, PROPER(TRIM(sales_dataset[[#This Row],[City]])))</f>
        <v>Bengaluru</v>
      </c>
      <c r="G482" t="str">
        <f>PROPER(sales_dataset[[#This Row],[Region cleaned]])</f>
        <v>South</v>
      </c>
      <c r="H482" t="s">
        <v>111</v>
      </c>
      <c r="I482" t="str">
        <f>IF(TRIM(sales_dataset[[#This Row],[SalespersonName]])="",I485,PROPER(TRIM(sales_dataset[[#This Row],[SalespersonName]])))</f>
        <v>Kevin</v>
      </c>
      <c r="J482" s="1" t="s">
        <v>248</v>
      </c>
      <c r="K482" s="1" t="str">
        <f>PROPER(sales_dataset[[#This Row],[ProductCategory cleaned]])</f>
        <v>Electronics</v>
      </c>
      <c r="L482" s="1" t="str">
        <f>PROPER(sales_dataset[[#This Row],[ProductName]])</f>
        <v>Shirt</v>
      </c>
      <c r="M482">
        <f>ABS(sales_dataset!W:W)</f>
        <v>1</v>
      </c>
      <c r="N482">
        <f>ABS(sales_dataset[[#This Row],[Column4]])</f>
        <v>1500</v>
      </c>
      <c r="O482">
        <f t="shared" si="7"/>
        <v>1500</v>
      </c>
    </row>
    <row r="483" spans="1:15" x14ac:dyDescent="0.3">
      <c r="A483" s="1" t="s">
        <v>866</v>
      </c>
      <c r="B483" s="2">
        <v>45412</v>
      </c>
      <c r="C483" s="1" t="str">
        <f>IF(TRIM(sales_dataset[[#This Row],[SalesChannel]])="",sales_dataset!C484,PROPER(TRIM(sales_dataset[[#This Row],[SalesChannel]])))</f>
        <v>Offline</v>
      </c>
      <c r="D483" s="1" t="s">
        <v>861</v>
      </c>
      <c r="E483" s="1" t="str">
        <f>IF(TRIM(sales_dataset[[#This Row],[CustomerName]])="",sales_dataset!F489, PROPER(TRIM(sales_dataset[[#This Row],[CustomerName]])))</f>
        <v>David</v>
      </c>
      <c r="F483" s="1" t="str">
        <f>IF(TRIM(sales_dataset[[#This Row],[City]])="", sales_dataset!$H$3, PROPER(TRIM(sales_dataset[[#This Row],[City]])))</f>
        <v>Bengaluru</v>
      </c>
      <c r="G483" t="str">
        <f>PROPER(sales_dataset[[#This Row],[Region cleaned]])</f>
        <v>North</v>
      </c>
      <c r="H483" t="s">
        <v>510</v>
      </c>
      <c r="I483" t="str">
        <f>IF(TRIM(sales_dataset[[#This Row],[SalespersonName]])="",I486,PROPER(TRIM(sales_dataset[[#This Row],[SalespersonName]])))</f>
        <v>Megha</v>
      </c>
      <c r="J483" s="1" t="s">
        <v>580</v>
      </c>
      <c r="K483" s="1" t="str">
        <f>PROPER(sales_dataset[[#This Row],[ProductCategory cleaned]])</f>
        <v>Electronics</v>
      </c>
      <c r="L483" s="1" t="str">
        <f>PROPER(sales_dataset[[#This Row],[ProductName]])</f>
        <v/>
      </c>
      <c r="M483">
        <f>ABS(sales_dataset!W:W)</f>
        <v>1</v>
      </c>
      <c r="N483">
        <f>ABS(sales_dataset[[#This Row],[Column4]])</f>
        <v>2500</v>
      </c>
      <c r="O483">
        <f t="shared" si="7"/>
        <v>2500</v>
      </c>
    </row>
    <row r="484" spans="1:15" x14ac:dyDescent="0.3">
      <c r="A484" s="1" t="s">
        <v>867</v>
      </c>
      <c r="B484" s="2">
        <v>45450</v>
      </c>
      <c r="C484" s="1" t="str">
        <f>IF(TRIM(sales_dataset[[#This Row],[SalesChannel]])="",sales_dataset!C485,PROPER(TRIM(sales_dataset[[#This Row],[SalesChannel]])))</f>
        <v>Store</v>
      </c>
      <c r="D484" s="1" t="s">
        <v>584</v>
      </c>
      <c r="E484" s="1" t="str">
        <f>IF(TRIM(sales_dataset[[#This Row],[CustomerName]])="",sales_dataset!F490, PROPER(TRIM(sales_dataset[[#This Row],[CustomerName]])))</f>
        <v>John</v>
      </c>
      <c r="F484" s="1" t="str">
        <f>IF(TRIM(sales_dataset[[#This Row],[City]])="", sales_dataset!$H$3, PROPER(TRIM(sales_dataset[[#This Row],[City]])))</f>
        <v>Mumbai</v>
      </c>
      <c r="G484" t="str">
        <f>PROPER(sales_dataset[[#This Row],[Region cleaned]])</f>
        <v>South</v>
      </c>
      <c r="H484" t="s">
        <v>427</v>
      </c>
      <c r="I484" t="str">
        <f>IF(TRIM(sales_dataset[[#This Row],[SalespersonName]])="",I487,PROPER(TRIM(sales_dataset[[#This Row],[SalespersonName]])))</f>
        <v>Anita</v>
      </c>
      <c r="J484" s="1" t="s">
        <v>242</v>
      </c>
      <c r="K484" s="1" t="str">
        <f>PROPER(sales_dataset[[#This Row],[ProductCategory cleaned]])</f>
        <v>Electronics</v>
      </c>
      <c r="L484" s="1" t="str">
        <f>PROPER(sales_dataset[[#This Row],[ProductName]])</f>
        <v>Shirt</v>
      </c>
      <c r="M484">
        <f>ABS(sales_dataset!W:W)</f>
        <v>4</v>
      </c>
      <c r="N484">
        <f>ABS(sales_dataset[[#This Row],[Column4]])</f>
        <v>1500</v>
      </c>
      <c r="O484">
        <f t="shared" si="7"/>
        <v>6000</v>
      </c>
    </row>
    <row r="485" spans="1:15" x14ac:dyDescent="0.3">
      <c r="A485" s="1" t="s">
        <v>868</v>
      </c>
      <c r="B485" s="2">
        <v>45407</v>
      </c>
      <c r="C485" s="1" t="str">
        <f>IF(TRIM(sales_dataset[[#This Row],[SalesChannel]])="",sales_dataset!C486,PROPER(TRIM(sales_dataset[[#This Row],[SalesChannel]])))</f>
        <v>Store</v>
      </c>
      <c r="D485" s="1" t="s">
        <v>315</v>
      </c>
      <c r="E485" s="1" t="str">
        <f>IF(TRIM(sales_dataset[[#This Row],[CustomerName]])="",sales_dataset!F491, PROPER(TRIM(sales_dataset[[#This Row],[CustomerName]])))</f>
        <v>Amit</v>
      </c>
      <c r="F485" s="1" t="str">
        <f>IF(TRIM(sales_dataset[[#This Row],[City]])="", sales_dataset!$H$3, PROPER(TRIM(sales_dataset[[#This Row],[City]])))</f>
        <v>Mumbai</v>
      </c>
      <c r="G485" t="str">
        <f>PROPER(sales_dataset[[#This Row],[Region cleaned]])</f>
        <v>West</v>
      </c>
      <c r="H485" t="s">
        <v>237</v>
      </c>
      <c r="I485" t="str">
        <f>IF(TRIM(sales_dataset[[#This Row],[SalespersonName]])="",I488,PROPER(TRIM(sales_dataset[[#This Row],[SalespersonName]])))</f>
        <v>Kevin</v>
      </c>
      <c r="J485" s="1" t="s">
        <v>104</v>
      </c>
      <c r="K485" s="1" t="str">
        <f>PROPER(sales_dataset[[#This Row],[ProductCategory cleaned]])</f>
        <v>Electronics</v>
      </c>
      <c r="L485" s="1" t="str">
        <f>PROPER(sales_dataset[[#This Row],[ProductName]])</f>
        <v>Sofa</v>
      </c>
      <c r="M485">
        <f>ABS(sales_dataset!W:W)</f>
        <v>4</v>
      </c>
      <c r="N485">
        <f>ABS(sales_dataset[[#This Row],[Column4]])</f>
        <v>1500</v>
      </c>
      <c r="O485">
        <f t="shared" si="7"/>
        <v>6000</v>
      </c>
    </row>
    <row r="486" spans="1:15" x14ac:dyDescent="0.3">
      <c r="A486" s="1" t="s">
        <v>869</v>
      </c>
      <c r="B486" s="2">
        <v>45393</v>
      </c>
      <c r="C486" s="1" t="str">
        <f>IF(TRIM(sales_dataset[[#This Row],[SalesChannel]])="",sales_dataset!C487,PROPER(TRIM(sales_dataset[[#This Row],[SalesChannel]])))</f>
        <v>Online</v>
      </c>
      <c r="D486" s="1" t="s">
        <v>450</v>
      </c>
      <c r="E486" s="1" t="str">
        <f>IF(TRIM(sales_dataset[[#This Row],[CustomerName]])="",sales_dataset!F492, PROPER(TRIM(sales_dataset[[#This Row],[CustomerName]])))</f>
        <v/>
      </c>
      <c r="F486" s="1" t="str">
        <f>IF(TRIM(sales_dataset[[#This Row],[City]])="", sales_dataset!$H$3, PROPER(TRIM(sales_dataset[[#This Row],[City]])))</f>
        <v>Mumbai</v>
      </c>
      <c r="G486" t="str">
        <f>PROPER(sales_dataset[[#This Row],[Region cleaned]])</f>
        <v>West</v>
      </c>
      <c r="H486" t="s">
        <v>427</v>
      </c>
      <c r="I486" t="str">
        <f>IF(TRIM(sales_dataset[[#This Row],[SalespersonName]])="",I489,PROPER(TRIM(sales_dataset[[#This Row],[SalespersonName]])))</f>
        <v>Megha</v>
      </c>
      <c r="J486" s="1" t="s">
        <v>327</v>
      </c>
      <c r="K486" s="1" t="str">
        <f>PROPER(sales_dataset[[#This Row],[ProductCategory cleaned]])</f>
        <v>Clothing</v>
      </c>
      <c r="L486" s="1" t="str">
        <f>PROPER(sales_dataset[[#This Row],[ProductName]])</f>
        <v/>
      </c>
      <c r="M486">
        <f>ABS(sales_dataset!W:W)</f>
        <v>5</v>
      </c>
      <c r="N486">
        <f>ABS(sales_dataset[[#This Row],[Column4]])</f>
        <v>100</v>
      </c>
      <c r="O486">
        <f t="shared" si="7"/>
        <v>500</v>
      </c>
    </row>
    <row r="487" spans="1:15" x14ac:dyDescent="0.3">
      <c r="A487" s="1" t="s">
        <v>870</v>
      </c>
      <c r="B487" s="2">
        <v>45367</v>
      </c>
      <c r="C487" s="1" t="str">
        <f>IF(TRIM(sales_dataset[[#This Row],[SalesChannel]])="",sales_dataset!C488,PROPER(TRIM(sales_dataset[[#This Row],[SalesChannel]])))</f>
        <v>Online</v>
      </c>
      <c r="D487" s="1" t="s">
        <v>313</v>
      </c>
      <c r="E487" s="1" t="str">
        <f>IF(TRIM(sales_dataset[[#This Row],[CustomerName]])="",sales_dataset!F493, PROPER(TRIM(sales_dataset[[#This Row],[CustomerName]])))</f>
        <v/>
      </c>
      <c r="F487" s="1" t="str">
        <f>IF(TRIM(sales_dataset[[#This Row],[City]])="", sales_dataset!$H$3, PROPER(TRIM(sales_dataset[[#This Row],[City]])))</f>
        <v>Chennai</v>
      </c>
      <c r="G487" t="str">
        <f>PROPER(sales_dataset[[#This Row],[Region cleaned]])</f>
        <v>West</v>
      </c>
      <c r="H487" t="s">
        <v>212</v>
      </c>
      <c r="I487" t="str">
        <f>IF(TRIM(sales_dataset[[#This Row],[SalespersonName]])="",I490,PROPER(TRIM(sales_dataset[[#This Row],[SalespersonName]])))</f>
        <v>Anita</v>
      </c>
      <c r="J487" s="1" t="s">
        <v>370</v>
      </c>
      <c r="K487" s="1" t="str">
        <f>PROPER(sales_dataset[[#This Row],[ProductCategory cleaned]])</f>
        <v>Electronics</v>
      </c>
      <c r="L487" s="1" t="str">
        <f>PROPER(sales_dataset[[#This Row],[ProductName]])</f>
        <v>Shirt</v>
      </c>
      <c r="M487">
        <f>ABS(sales_dataset!W:W)</f>
        <v>5</v>
      </c>
      <c r="N487">
        <f>ABS(sales_dataset[[#This Row],[Column4]])</f>
        <v>1500</v>
      </c>
      <c r="O487">
        <f t="shared" si="7"/>
        <v>7500</v>
      </c>
    </row>
    <row r="488" spans="1:15" x14ac:dyDescent="0.3">
      <c r="A488" s="1" t="s">
        <v>871</v>
      </c>
      <c r="B488" s="2">
        <v>45304</v>
      </c>
      <c r="C488" s="1" t="str">
        <f>IF(TRIM(sales_dataset[[#This Row],[SalesChannel]])="",sales_dataset!C489,PROPER(TRIM(sales_dataset[[#This Row],[SalesChannel]])))</f>
        <v>Online</v>
      </c>
      <c r="D488" s="1" t="s">
        <v>146</v>
      </c>
      <c r="E488" s="1" t="str">
        <f>IF(TRIM(sales_dataset[[#This Row],[CustomerName]])="",sales_dataset!F494, PROPER(TRIM(sales_dataset[[#This Row],[CustomerName]])))</f>
        <v>David</v>
      </c>
      <c r="F488" s="1" t="str">
        <f>IF(TRIM(sales_dataset[[#This Row],[City]])="", sales_dataset!$H$3, PROPER(TRIM(sales_dataset[[#This Row],[City]])))</f>
        <v>Delhi</v>
      </c>
      <c r="G488" t="str">
        <f>PROPER(sales_dataset[[#This Row],[Region cleaned]])</f>
        <v>West</v>
      </c>
      <c r="H488" t="s">
        <v>129</v>
      </c>
      <c r="I488" t="str">
        <f>IF(TRIM(sales_dataset[[#This Row],[SalespersonName]])="",I491,PROPER(TRIM(sales_dataset[[#This Row],[SalespersonName]])))</f>
        <v>Kevin</v>
      </c>
      <c r="J488" s="1" t="s">
        <v>452</v>
      </c>
      <c r="K488" s="1" t="str">
        <f>PROPER(sales_dataset[[#This Row],[ProductCategory cleaned]])</f>
        <v>Electronics</v>
      </c>
      <c r="L488" s="1" t="str">
        <f>PROPER(sales_dataset[[#This Row],[ProductName]])</f>
        <v>Shirt</v>
      </c>
      <c r="M488">
        <f>ABS(sales_dataset!W:W)</f>
        <v>5</v>
      </c>
      <c r="N488">
        <f>ABS(sales_dataset[[#This Row],[Column4]])</f>
        <v>100</v>
      </c>
      <c r="O488">
        <f t="shared" si="7"/>
        <v>500</v>
      </c>
    </row>
    <row r="489" spans="1:15" x14ac:dyDescent="0.3">
      <c r="A489" s="1" t="s">
        <v>872</v>
      </c>
      <c r="B489" s="2">
        <v>45315</v>
      </c>
      <c r="C489" s="1" t="str">
        <f>IF(TRIM(sales_dataset[[#This Row],[SalesChannel]])="",sales_dataset!C490,PROPER(TRIM(sales_dataset[[#This Row],[SalesChannel]])))</f>
        <v>Offline</v>
      </c>
      <c r="D489" s="1" t="s">
        <v>791</v>
      </c>
      <c r="E489" s="1" t="str">
        <f>IF(TRIM(sales_dataset[[#This Row],[CustomerName]])="",sales_dataset!F495, PROPER(TRIM(sales_dataset[[#This Row],[CustomerName]])))</f>
        <v>John</v>
      </c>
      <c r="F489" s="1" t="str">
        <f>IF(TRIM(sales_dataset[[#This Row],[City]])="", sales_dataset!$H$3, PROPER(TRIM(sales_dataset[[#This Row],[City]])))</f>
        <v>Hyderabad</v>
      </c>
      <c r="G489" t="str">
        <f>PROPER(sales_dataset[[#This Row],[Region cleaned]])</f>
        <v>South</v>
      </c>
      <c r="H489" t="s">
        <v>212</v>
      </c>
      <c r="I489" t="str">
        <f>IF(TRIM(sales_dataset[[#This Row],[SalespersonName]])="",I492,PROPER(TRIM(sales_dataset[[#This Row],[SalespersonName]])))</f>
        <v>Kevin</v>
      </c>
      <c r="J489" s="1" t="s">
        <v>421</v>
      </c>
      <c r="K489" s="1" t="str">
        <f>PROPER(sales_dataset[[#This Row],[ProductCategory cleaned]])</f>
        <v>Electronics</v>
      </c>
      <c r="L489" s="1" t="str">
        <f>PROPER(sales_dataset[[#This Row],[ProductName]])</f>
        <v>Shirt</v>
      </c>
      <c r="M489">
        <f>ABS(sales_dataset!W:W)</f>
        <v>2</v>
      </c>
      <c r="N489">
        <f>ABS(sales_dataset[[#This Row],[Column4]])</f>
        <v>1500</v>
      </c>
      <c r="O489">
        <f t="shared" si="7"/>
        <v>3000</v>
      </c>
    </row>
    <row r="490" spans="1:15" x14ac:dyDescent="0.3">
      <c r="A490" s="1" t="s">
        <v>873</v>
      </c>
      <c r="B490" s="2">
        <v>45417</v>
      </c>
      <c r="C490" s="1" t="str">
        <f>IF(TRIM(sales_dataset[[#This Row],[SalesChannel]])="",sales_dataset!C491,PROPER(TRIM(sales_dataset[[#This Row],[SalesChannel]])))</f>
        <v>Store</v>
      </c>
      <c r="D490" s="1" t="s">
        <v>429</v>
      </c>
      <c r="E490" s="1" t="str">
        <f>IF(TRIM(sales_dataset[[#This Row],[CustomerName]])="",sales_dataset!F496, PROPER(TRIM(sales_dataset[[#This Row],[CustomerName]])))</f>
        <v>David</v>
      </c>
      <c r="F490" s="1" t="str">
        <f>IF(TRIM(sales_dataset[[#This Row],[City]])="", sales_dataset!$H$3, PROPER(TRIM(sales_dataset[[#This Row],[City]])))</f>
        <v>Mumbai</v>
      </c>
      <c r="G490" t="str">
        <f>PROPER(sales_dataset[[#This Row],[Region cleaned]])</f>
        <v>East</v>
      </c>
      <c r="H490" t="s">
        <v>111</v>
      </c>
      <c r="I490" t="str">
        <f>IF(TRIM(sales_dataset[[#This Row],[SalespersonName]])="",I493,PROPER(TRIM(sales_dataset[[#This Row],[SalespersonName]])))</f>
        <v>Anita</v>
      </c>
      <c r="J490" s="1" t="s">
        <v>291</v>
      </c>
      <c r="K490" s="1" t="str">
        <f>PROPER(sales_dataset[[#This Row],[ProductCategory cleaned]])</f>
        <v>Home</v>
      </c>
      <c r="L490" s="1" t="str">
        <f>PROPER(sales_dataset[[#This Row],[ProductName]])</f>
        <v>Watch</v>
      </c>
      <c r="M490">
        <f>ABS(sales_dataset!W:W)</f>
        <v>4</v>
      </c>
      <c r="N490">
        <f>ABS(sales_dataset[[#This Row],[Column4]])</f>
        <v>100</v>
      </c>
      <c r="O490">
        <f t="shared" si="7"/>
        <v>400</v>
      </c>
    </row>
    <row r="491" spans="1:15" x14ac:dyDescent="0.3">
      <c r="A491" s="1" t="s">
        <v>874</v>
      </c>
      <c r="B491" s="2">
        <v>45535</v>
      </c>
      <c r="C491" s="1" t="str">
        <f>IF(TRIM(sales_dataset[[#This Row],[SalesChannel]])="",sales_dataset!C492,PROPER(TRIM(sales_dataset[[#This Row],[SalesChannel]])))</f>
        <v>Store</v>
      </c>
      <c r="D491" s="1" t="s">
        <v>92</v>
      </c>
      <c r="E491" s="1" t="str">
        <f>IF(TRIM(sales_dataset[[#This Row],[CustomerName]])="",sales_dataset!F497, PROPER(TRIM(sales_dataset[[#This Row],[CustomerName]])))</f>
        <v>John</v>
      </c>
      <c r="F491" s="1" t="str">
        <f>IF(TRIM(sales_dataset[[#This Row],[City]])="", sales_dataset!$H$3, PROPER(TRIM(sales_dataset[[#This Row],[City]])))</f>
        <v>Mumbai</v>
      </c>
      <c r="G491" t="str">
        <f>PROPER(sales_dataset[[#This Row],[Region cleaned]])</f>
        <v>North</v>
      </c>
      <c r="H491" t="s">
        <v>247</v>
      </c>
      <c r="I491" t="str">
        <f>IF(TRIM(sales_dataset[[#This Row],[SalespersonName]])="",I494,PROPER(TRIM(sales_dataset[[#This Row],[SalespersonName]])))</f>
        <v>Sam</v>
      </c>
      <c r="J491" s="1" t="s">
        <v>153</v>
      </c>
      <c r="K491" s="1" t="str">
        <f>PROPER(sales_dataset[[#This Row],[ProductCategory cleaned]])</f>
        <v>Home</v>
      </c>
      <c r="L491" s="1" t="str">
        <f>PROPER(sales_dataset[[#This Row],[ProductName]])</f>
        <v>Shirt</v>
      </c>
      <c r="M491">
        <f>ABS(sales_dataset!W:W)</f>
        <v>1</v>
      </c>
      <c r="N491">
        <f>ABS(sales_dataset[[#This Row],[Column4]])</f>
        <v>100</v>
      </c>
      <c r="O491">
        <f t="shared" si="7"/>
        <v>100</v>
      </c>
    </row>
    <row r="492" spans="1:15" x14ac:dyDescent="0.3">
      <c r="A492" s="1" t="s">
        <v>875</v>
      </c>
      <c r="B492" s="2">
        <v>45329</v>
      </c>
      <c r="C492" s="1" t="str">
        <f>IF(TRIM(sales_dataset[[#This Row],[SalesChannel]])="",sales_dataset!C493,PROPER(TRIM(sales_dataset[[#This Row],[SalesChannel]])))</f>
        <v>Online</v>
      </c>
      <c r="D492" s="1" t="s">
        <v>442</v>
      </c>
      <c r="E492" s="1" t="str">
        <f>IF(TRIM(sales_dataset[[#This Row],[CustomerName]])="",sales_dataset!F498, PROPER(TRIM(sales_dataset[[#This Row],[CustomerName]])))</f>
        <v/>
      </c>
      <c r="F492" s="1" t="str">
        <f>IF(TRIM(sales_dataset[[#This Row],[City]])="", sales_dataset!$H$3, PROPER(TRIM(sales_dataset[[#This Row],[City]])))</f>
        <v>Bengaluru</v>
      </c>
      <c r="G492" t="str">
        <f>PROPER(sales_dataset[[#This Row],[Region cleaned]])</f>
        <v>South</v>
      </c>
      <c r="H492" t="s">
        <v>103</v>
      </c>
      <c r="I492" t="str">
        <f>IF(TRIM(sales_dataset[[#This Row],[SalespersonName]])="",I495,PROPER(TRIM(sales_dataset[[#This Row],[SalespersonName]])))</f>
        <v>Megha</v>
      </c>
      <c r="J492" s="1" t="s">
        <v>120</v>
      </c>
      <c r="K492" s="1" t="str">
        <f>PROPER(sales_dataset[[#This Row],[ProductCategory cleaned]])</f>
        <v>Electronics</v>
      </c>
      <c r="L492" s="1" t="str">
        <f>PROPER(sales_dataset[[#This Row],[ProductName]])</f>
        <v>Sofa</v>
      </c>
      <c r="M492">
        <f>ABS(sales_dataset!W:W)</f>
        <v>5</v>
      </c>
      <c r="N492">
        <f>ABS(sales_dataset[[#This Row],[Column4]])</f>
        <v>2500</v>
      </c>
      <c r="O492">
        <f t="shared" si="7"/>
        <v>12500</v>
      </c>
    </row>
    <row r="493" spans="1:15" x14ac:dyDescent="0.3">
      <c r="A493" s="1" t="s">
        <v>876</v>
      </c>
      <c r="B493" s="2">
        <v>45525</v>
      </c>
      <c r="C493" s="1" t="str">
        <f>IF(TRIM(sales_dataset[[#This Row],[SalesChannel]])="",sales_dataset!C494,PROPER(TRIM(sales_dataset[[#This Row],[SalesChannel]])))</f>
        <v>Online</v>
      </c>
      <c r="D493" s="1" t="s">
        <v>151</v>
      </c>
      <c r="E493" s="1" t="str">
        <f>IF(TRIM(sales_dataset[[#This Row],[CustomerName]])="",sales_dataset!F499, PROPER(TRIM(sales_dataset[[#This Row],[CustomerName]])))</f>
        <v>David</v>
      </c>
      <c r="F493" s="1" t="str">
        <f>IF(TRIM(sales_dataset[[#This Row],[City]])="", sales_dataset!$H$3, PROPER(TRIM(sales_dataset[[#This Row],[City]])))</f>
        <v>Hyderabad</v>
      </c>
      <c r="G493" t="str">
        <f>PROPER(sales_dataset[[#This Row],[Region cleaned]])</f>
        <v>East</v>
      </c>
      <c r="H493" t="s">
        <v>74</v>
      </c>
      <c r="I493" t="str">
        <f>IF(TRIM(sales_dataset[[#This Row],[SalespersonName]])="",I496,PROPER(TRIM(sales_dataset[[#This Row],[SalespersonName]])))</f>
        <v>Anita</v>
      </c>
      <c r="J493" s="1" t="s">
        <v>248</v>
      </c>
      <c r="K493" s="1" t="str">
        <f>PROPER(sales_dataset[[#This Row],[ProductCategory cleaned]])</f>
        <v>Electronics</v>
      </c>
      <c r="L493" s="1" t="str">
        <f>PROPER(sales_dataset[[#This Row],[ProductName]])</f>
        <v/>
      </c>
      <c r="M493">
        <f>ABS(sales_dataset!W:W)</f>
        <v>4</v>
      </c>
      <c r="N493">
        <f>ABS(sales_dataset[[#This Row],[Column4]])</f>
        <v>2000</v>
      </c>
      <c r="O493">
        <f t="shared" si="7"/>
        <v>8000</v>
      </c>
    </row>
    <row r="494" spans="1:15" x14ac:dyDescent="0.3">
      <c r="A494" s="1" t="s">
        <v>877</v>
      </c>
      <c r="B494" s="2">
        <v>45504</v>
      </c>
      <c r="C494" s="1" t="str">
        <f>IF(TRIM(sales_dataset[[#This Row],[SalesChannel]])="",sales_dataset!C495,PROPER(TRIM(sales_dataset[[#This Row],[SalesChannel]])))</f>
        <v>Online</v>
      </c>
      <c r="D494" s="1" t="s">
        <v>420</v>
      </c>
      <c r="E494" s="1" t="str">
        <f>IF(TRIM(sales_dataset[[#This Row],[CustomerName]])="",sales_dataset!F500, PROPER(TRIM(sales_dataset[[#This Row],[CustomerName]])))</f>
        <v>John</v>
      </c>
      <c r="F494" s="1" t="str">
        <f>IF(TRIM(sales_dataset[[#This Row],[City]])="", sales_dataset!$H$3, PROPER(TRIM(sales_dataset[[#This Row],[City]])))</f>
        <v>Chennai</v>
      </c>
      <c r="G494" t="str">
        <f>PROPER(sales_dataset[[#This Row],[Region cleaned]])</f>
        <v/>
      </c>
      <c r="H494" t="s">
        <v>103</v>
      </c>
      <c r="I494" t="str">
        <f>IF(TRIM(sales_dataset[[#This Row],[SalespersonName]])="",I497,PROPER(TRIM(sales_dataset[[#This Row],[SalespersonName]])))</f>
        <v>Sam</v>
      </c>
      <c r="J494" s="1" t="s">
        <v>62</v>
      </c>
      <c r="K494" s="1" t="str">
        <f>PROPER(sales_dataset[[#This Row],[ProductCategory cleaned]])</f>
        <v>Electronics</v>
      </c>
      <c r="L494" s="1" t="str">
        <f>PROPER(sales_dataset[[#This Row],[ProductName]])</f>
        <v>Tv</v>
      </c>
      <c r="M494">
        <f>ABS(sales_dataset!W:W)</f>
        <v>1</v>
      </c>
      <c r="N494">
        <f>ABS(sales_dataset[[#This Row],[Column4]])</f>
        <v>500</v>
      </c>
      <c r="O494">
        <f t="shared" si="7"/>
        <v>500</v>
      </c>
    </row>
    <row r="495" spans="1:15" x14ac:dyDescent="0.3">
      <c r="A495" s="1" t="s">
        <v>878</v>
      </c>
      <c r="B495" s="2">
        <v>45586</v>
      </c>
      <c r="C495" s="1" t="str">
        <f>IF(TRIM(sales_dataset[[#This Row],[SalesChannel]])="",sales_dataset!C496,PROPER(TRIM(sales_dataset[[#This Row],[SalesChannel]])))</f>
        <v>Offline</v>
      </c>
      <c r="D495" s="1" t="s">
        <v>401</v>
      </c>
      <c r="E495" s="1" t="str">
        <f>IF(TRIM(sales_dataset[[#This Row],[CustomerName]])="",sales_dataset!F501, PROPER(TRIM(sales_dataset[[#This Row],[CustomerName]])))</f>
        <v>Priya</v>
      </c>
      <c r="F495" s="1" t="str">
        <f>IF(TRIM(sales_dataset[[#This Row],[City]])="", sales_dataset!$H$3, PROPER(TRIM(sales_dataset[[#This Row],[City]])))</f>
        <v>Mumbai</v>
      </c>
      <c r="G495" t="str">
        <f>PROPER(sales_dataset[[#This Row],[Region cleaned]])</f>
        <v>East</v>
      </c>
      <c r="H495" t="s">
        <v>103</v>
      </c>
      <c r="I495" t="str">
        <f>IF(TRIM(sales_dataset[[#This Row],[SalespersonName]])="",I498,PROPER(TRIM(sales_dataset[[#This Row],[SalespersonName]])))</f>
        <v>Megha</v>
      </c>
      <c r="J495" s="1" t="s">
        <v>104</v>
      </c>
      <c r="K495" s="1" t="str">
        <f>PROPER(sales_dataset[[#This Row],[ProductCategory cleaned]])</f>
        <v>0</v>
      </c>
      <c r="L495" s="1" t="str">
        <f>PROPER(sales_dataset[[#This Row],[ProductName]])</f>
        <v>Sofa</v>
      </c>
      <c r="M495">
        <f>ABS(sales_dataset!W:W)</f>
        <v>5</v>
      </c>
      <c r="N495">
        <f>ABS(sales_dataset[[#This Row],[Column4]])</f>
        <v>1500</v>
      </c>
      <c r="O495">
        <f t="shared" si="7"/>
        <v>7500</v>
      </c>
    </row>
    <row r="496" spans="1:15" x14ac:dyDescent="0.3">
      <c r="A496" s="1" t="s">
        <v>879</v>
      </c>
      <c r="B496" s="2">
        <v>45391</v>
      </c>
      <c r="C496" s="1" t="str">
        <f>IF(TRIM(sales_dataset[[#This Row],[SalesChannel]])="",sales_dataset!C497,PROPER(TRIM(sales_dataset[[#This Row],[SalesChannel]])))</f>
        <v>Store</v>
      </c>
      <c r="D496" s="1" t="s">
        <v>306</v>
      </c>
      <c r="E496" s="1" t="str">
        <f>IF(TRIM(sales_dataset[[#This Row],[CustomerName]])="",sales_dataset!F502, PROPER(TRIM(sales_dataset[[#This Row],[CustomerName]])))</f>
        <v/>
      </c>
      <c r="F496" s="1" t="str">
        <f>IF(TRIM(sales_dataset[[#This Row],[City]])="", sales_dataset!$H$3, PROPER(TRIM(sales_dataset[[#This Row],[City]])))</f>
        <v>Delhi</v>
      </c>
      <c r="G496" t="str">
        <f>PROPER(sales_dataset[[#This Row],[Region cleaned]])</f>
        <v>West</v>
      </c>
      <c r="H496" t="s">
        <v>173</v>
      </c>
      <c r="I496" t="str">
        <f>IF(TRIM(sales_dataset[[#This Row],[SalespersonName]])="",I499,PROPER(TRIM(sales_dataset[[#This Row],[SalespersonName]])))</f>
        <v>Kevin</v>
      </c>
      <c r="J496" s="1" t="s">
        <v>452</v>
      </c>
      <c r="K496" s="1" t="str">
        <f>PROPER(sales_dataset[[#This Row],[ProductCategory cleaned]])</f>
        <v>Clothing</v>
      </c>
      <c r="L496" s="1" t="str">
        <f>PROPER(sales_dataset[[#This Row],[ProductName]])</f>
        <v>Tv</v>
      </c>
      <c r="M496">
        <f>ABS(sales_dataset!W:W)</f>
        <v>4</v>
      </c>
      <c r="N496">
        <f>ABS(sales_dataset[[#This Row],[Column4]])</f>
        <v>2500</v>
      </c>
      <c r="O496">
        <f t="shared" si="7"/>
        <v>10000</v>
      </c>
    </row>
    <row r="497" spans="1:15" x14ac:dyDescent="0.3">
      <c r="A497" s="1" t="s">
        <v>880</v>
      </c>
      <c r="B497" s="2">
        <v>45488</v>
      </c>
      <c r="C497" s="1" t="str">
        <f>IF(TRIM(sales_dataset[[#This Row],[SalesChannel]])="",sales_dataset!C498,PROPER(TRIM(sales_dataset[[#This Row],[SalesChannel]])))</f>
        <v>Store</v>
      </c>
      <c r="D497" s="1" t="s">
        <v>349</v>
      </c>
      <c r="E497" s="1" t="str">
        <f>IF(TRIM(sales_dataset[[#This Row],[CustomerName]])="",sales_dataset!F503, PROPER(TRIM(sales_dataset[[#This Row],[CustomerName]])))</f>
        <v>John</v>
      </c>
      <c r="F497" s="1" t="str">
        <f>IF(TRIM(sales_dataset[[#This Row],[City]])="", sales_dataset!$H$3, PROPER(TRIM(sales_dataset[[#This Row],[City]])))</f>
        <v>Bengaluru</v>
      </c>
      <c r="G497" t="str">
        <f>PROPER(sales_dataset[[#This Row],[Region cleaned]])</f>
        <v>East</v>
      </c>
      <c r="H497" t="s">
        <v>215</v>
      </c>
      <c r="I497" t="str">
        <f>IF(TRIM(sales_dataset[[#This Row],[SalespersonName]])="",I500,PROPER(TRIM(sales_dataset[[#This Row],[SalespersonName]])))</f>
        <v>Anita</v>
      </c>
      <c r="J497" s="1" t="s">
        <v>651</v>
      </c>
      <c r="K497" s="1" t="str">
        <f>PROPER(sales_dataset[[#This Row],[ProductCategory cleaned]])</f>
        <v>Clothing</v>
      </c>
      <c r="L497" s="1" t="str">
        <f>PROPER(sales_dataset[[#This Row],[ProductName]])</f>
        <v/>
      </c>
      <c r="M497">
        <f>ABS(sales_dataset!W:W)</f>
        <v>1</v>
      </c>
      <c r="N497">
        <f>ABS(sales_dataset[[#This Row],[Column4]])</f>
        <v>1500</v>
      </c>
      <c r="O497">
        <f t="shared" si="7"/>
        <v>1500</v>
      </c>
    </row>
    <row r="498" spans="1:15" x14ac:dyDescent="0.3">
      <c r="A498" s="1" t="s">
        <v>881</v>
      </c>
      <c r="B498" s="2">
        <v>45545</v>
      </c>
      <c r="C498" s="1" t="str">
        <f>IF(TRIM(sales_dataset[[#This Row],[SalesChannel]])="",sales_dataset!C499,PROPER(TRIM(sales_dataset[[#This Row],[SalesChannel]])))</f>
        <v>Online</v>
      </c>
      <c r="D498" s="1" t="s">
        <v>555</v>
      </c>
      <c r="E498" s="1" t="str">
        <f>IF(TRIM(sales_dataset[[#This Row],[CustomerName]])="",sales_dataset!F504, PROPER(TRIM(sales_dataset[[#This Row],[CustomerName]])))</f>
        <v/>
      </c>
      <c r="F498" s="1" t="str">
        <f>IF(TRIM(sales_dataset[[#This Row],[City]])="", sales_dataset!$H$3, PROPER(TRIM(sales_dataset[[#This Row],[City]])))</f>
        <v>Delhi</v>
      </c>
      <c r="G498" t="str">
        <f>PROPER(sales_dataset[[#This Row],[Region cleaned]])</f>
        <v>West</v>
      </c>
      <c r="H498" t="s">
        <v>501</v>
      </c>
      <c r="I498" t="str">
        <f>IF(TRIM(sales_dataset[[#This Row],[SalespersonName]])="",I501,PROPER(TRIM(sales_dataset[[#This Row],[SalespersonName]])))</f>
        <v>Kevin</v>
      </c>
      <c r="J498" s="1" t="s">
        <v>279</v>
      </c>
      <c r="K498" s="1" t="str">
        <f>PROPER(sales_dataset[[#This Row],[ProductCategory cleaned]])</f>
        <v>Electronics</v>
      </c>
      <c r="L498" s="1" t="str">
        <f>PROPER(sales_dataset[[#This Row],[ProductName]])</f>
        <v>Shirt</v>
      </c>
      <c r="M498">
        <f>ABS(sales_dataset!W:W)</f>
        <v>5</v>
      </c>
      <c r="N498">
        <f>ABS(sales_dataset[[#This Row],[Column4]])</f>
        <v>500</v>
      </c>
      <c r="O498">
        <f t="shared" si="7"/>
        <v>2500</v>
      </c>
    </row>
    <row r="499" spans="1:15" x14ac:dyDescent="0.3">
      <c r="A499" s="1" t="s">
        <v>882</v>
      </c>
      <c r="B499" s="2">
        <v>45496</v>
      </c>
      <c r="C499" s="1" t="str">
        <f>IF(TRIM(sales_dataset[[#This Row],[SalesChannel]])="",sales_dataset!C500,PROPER(TRIM(sales_dataset[[#This Row],[SalesChannel]])))</f>
        <v>Online</v>
      </c>
      <c r="D499" s="1" t="s">
        <v>548</v>
      </c>
      <c r="E499" s="1" t="str">
        <f>IF(TRIM(sales_dataset[[#This Row],[CustomerName]])="",sales_dataset!F505, PROPER(TRIM(sales_dataset[[#This Row],[CustomerName]])))</f>
        <v>David</v>
      </c>
      <c r="F499" s="1" t="str">
        <f>IF(TRIM(sales_dataset[[#This Row],[City]])="", sales_dataset!$H$3, PROPER(TRIM(sales_dataset[[#This Row],[City]])))</f>
        <v>Delhi</v>
      </c>
      <c r="G499" t="str">
        <f>PROPER(sales_dataset[[#This Row],[Region cleaned]])</f>
        <v>South</v>
      </c>
      <c r="H499" t="s">
        <v>224</v>
      </c>
      <c r="I499" t="str">
        <f>IF(TRIM(sales_dataset[[#This Row],[SalespersonName]])="",I502,PROPER(TRIM(sales_dataset[[#This Row],[SalespersonName]])))</f>
        <v>Anita</v>
      </c>
      <c r="J499" s="1" t="s">
        <v>130</v>
      </c>
      <c r="K499" s="1" t="str">
        <f>PROPER(sales_dataset[[#This Row],[ProductCategory cleaned]])</f>
        <v>Electronics</v>
      </c>
      <c r="L499" s="1" t="str">
        <f>PROPER(sales_dataset[[#This Row],[ProductName]])</f>
        <v>Watch</v>
      </c>
      <c r="M499">
        <f>ABS(sales_dataset!W:W)</f>
        <v>4</v>
      </c>
      <c r="N499">
        <f>ABS(sales_dataset[[#This Row],[Column4]])</f>
        <v>2000</v>
      </c>
      <c r="O499">
        <f t="shared" si="7"/>
        <v>8000</v>
      </c>
    </row>
    <row r="500" spans="1:15" x14ac:dyDescent="0.3">
      <c r="A500" s="1" t="s">
        <v>883</v>
      </c>
      <c r="B500" s="2">
        <v>45416</v>
      </c>
      <c r="C500" s="1" t="str">
        <f>IF(TRIM(sales_dataset[[#This Row],[SalesChannel]])="",sales_dataset!C501,PROPER(TRIM(sales_dataset[[#This Row],[SalesChannel]])))</f>
        <v>Online</v>
      </c>
      <c r="D500" s="1" t="s">
        <v>640</v>
      </c>
      <c r="E500" s="1" t="str">
        <f>IF(TRIM(sales_dataset[[#This Row],[CustomerName]])="",sales_dataset!F506, PROPER(TRIM(sales_dataset[[#This Row],[CustomerName]])))</f>
        <v>Amit</v>
      </c>
      <c r="F500" s="1" t="str">
        <f>IF(TRIM(sales_dataset[[#This Row],[City]])="", sales_dataset!$H$3, PROPER(TRIM(sales_dataset[[#This Row],[City]])))</f>
        <v>Mumbai</v>
      </c>
      <c r="G500" t="str">
        <f>PROPER(sales_dataset[[#This Row],[Region cleaned]])</f>
        <v>East</v>
      </c>
      <c r="H500" t="s">
        <v>237</v>
      </c>
      <c r="I500" t="str">
        <f>IF(TRIM(sales_dataset[[#This Row],[SalespersonName]])="",I503,PROPER(TRIM(sales_dataset[[#This Row],[SalespersonName]])))</f>
        <v>Kevin</v>
      </c>
      <c r="J500" s="1" t="s">
        <v>265</v>
      </c>
      <c r="K500" s="1" t="str">
        <f>PROPER(sales_dataset[[#This Row],[ProductCategory cleaned]])</f>
        <v>Electronics</v>
      </c>
      <c r="L500" s="1" t="str">
        <f>PROPER(sales_dataset[[#This Row],[ProductName]])</f>
        <v>Watch</v>
      </c>
      <c r="M500">
        <f>ABS(sales_dataset!W:W)</f>
        <v>5</v>
      </c>
      <c r="N500">
        <f>ABS(sales_dataset[[#This Row],[Column4]])</f>
        <v>2000</v>
      </c>
      <c r="O500">
        <f t="shared" si="7"/>
        <v>10000</v>
      </c>
    </row>
    <row r="501" spans="1:15" x14ac:dyDescent="0.3">
      <c r="A501" s="1" t="s">
        <v>884</v>
      </c>
      <c r="B501" s="2">
        <v>45367</v>
      </c>
      <c r="C501" s="1" t="str">
        <f>IF(TRIM(sales_dataset[[#This Row],[SalesChannel]])="",sales_dataset!C502,PROPER(TRIM(sales_dataset[[#This Row],[SalesChannel]])))</f>
        <v>Offline</v>
      </c>
      <c r="D501" s="1" t="s">
        <v>429</v>
      </c>
      <c r="E501" s="1" t="str">
        <f>IF(TRIM(sales_dataset[[#This Row],[CustomerName]])="",sales_dataset!F507, PROPER(TRIM(sales_dataset[[#This Row],[CustomerName]])))</f>
        <v>Priya</v>
      </c>
      <c r="F501" s="1" t="str">
        <f>IF(TRIM(sales_dataset[[#This Row],[City]])="", sales_dataset!$H$3, PROPER(TRIM(sales_dataset[[#This Row],[City]])))</f>
        <v>Mumbai</v>
      </c>
      <c r="G501" t="str">
        <f>PROPER(sales_dataset[[#This Row],[Region cleaned]])</f>
        <v>North</v>
      </c>
      <c r="H501" t="s">
        <v>212</v>
      </c>
      <c r="I501" t="str">
        <f>IF(TRIM(sales_dataset[[#This Row],[SalespersonName]])="",I504,PROPER(TRIM(sales_dataset[[#This Row],[SalespersonName]])))</f>
        <v>Raj</v>
      </c>
      <c r="J501" s="1" t="s">
        <v>515</v>
      </c>
      <c r="K501" s="1" t="str">
        <f>PROPER(sales_dataset[[#This Row],[ProductCategory cleaned]])</f>
        <v>Home</v>
      </c>
      <c r="L501" s="1" t="str">
        <f>PROPER(sales_dataset[[#This Row],[ProductName]])</f>
        <v>Watch</v>
      </c>
      <c r="M501">
        <f>ABS(sales_dataset!W:W)</f>
        <v>1</v>
      </c>
      <c r="N501">
        <f>ABS(sales_dataset[[#This Row],[Column4]])</f>
        <v>1500</v>
      </c>
      <c r="O501">
        <f t="shared" si="7"/>
        <v>1500</v>
      </c>
    </row>
    <row r="502" spans="1:15" x14ac:dyDescent="0.3">
      <c r="A502" s="1" t="s">
        <v>734</v>
      </c>
      <c r="B502" s="2">
        <v>45571</v>
      </c>
      <c r="C502" s="1" t="str">
        <f>IF(TRIM(sales_dataset[[#This Row],[SalesChannel]])="",sales_dataset!C503,PROPER(TRIM(sales_dataset[[#This Row],[SalesChannel]])))</f>
        <v>Offline</v>
      </c>
      <c r="D502" s="1" t="s">
        <v>436</v>
      </c>
      <c r="E502" s="1" t="str">
        <f>IF(TRIM(sales_dataset[[#This Row],[CustomerName]])="",sales_dataset!F508, PROPER(TRIM(sales_dataset[[#This Row],[CustomerName]])))</f>
        <v>Amit</v>
      </c>
      <c r="F502" s="1" t="str">
        <f>IF(TRIM(sales_dataset[[#This Row],[City]])="", sales_dataset!$H$3, PROPER(TRIM(sales_dataset[[#This Row],[City]])))</f>
        <v>Delhi</v>
      </c>
      <c r="G502" t="str">
        <f>PROPER(sales_dataset[[#This Row],[Region cleaned]])</f>
        <v>East</v>
      </c>
      <c r="H502" t="s">
        <v>227</v>
      </c>
      <c r="I502" t="str">
        <f>IF(TRIM(sales_dataset[[#This Row],[SalespersonName]])="",I505,PROPER(TRIM(sales_dataset[[#This Row],[SalespersonName]])))</f>
        <v>Sam</v>
      </c>
      <c r="J502" s="1" t="s">
        <v>291</v>
      </c>
      <c r="K502" s="1" t="str">
        <f>PROPER(sales_dataset[[#This Row],[ProductCategory cleaned]])</f>
        <v>Home</v>
      </c>
      <c r="L502" s="1" t="str">
        <f>PROPER(sales_dataset[[#This Row],[ProductName]])</f>
        <v>Watch</v>
      </c>
      <c r="M502">
        <f>ABS(sales_dataset!W:W)</f>
        <v>1</v>
      </c>
      <c r="N502">
        <f>ABS(sales_dataset[[#This Row],[Column4]])</f>
        <v>1500</v>
      </c>
      <c r="O502">
        <f t="shared" si="7"/>
        <v>1500</v>
      </c>
    </row>
    <row r="503" spans="1:15" x14ac:dyDescent="0.3">
      <c r="A503" s="1" t="s">
        <v>292</v>
      </c>
      <c r="B503" s="2">
        <v>45430</v>
      </c>
      <c r="C503" s="1" t="str">
        <f>IF(TRIM(sales_dataset[[#This Row],[SalesChannel]])="",sales_dataset!C504,PROPER(TRIM(sales_dataset[[#This Row],[SalesChannel]])))</f>
        <v>Offline</v>
      </c>
      <c r="D503" s="1" t="s">
        <v>278</v>
      </c>
      <c r="E503" s="1" t="str">
        <f>IF(TRIM(sales_dataset[[#This Row],[CustomerName]])="",sales_dataset!F509, PROPER(TRIM(sales_dataset[[#This Row],[CustomerName]])))</f>
        <v>Amit</v>
      </c>
      <c r="F503" s="1" t="str">
        <f>IF(TRIM(sales_dataset[[#This Row],[City]])="", sales_dataset!$H$3, PROPER(TRIM(sales_dataset[[#This Row],[City]])))</f>
        <v>Mumbai</v>
      </c>
      <c r="G503" t="str">
        <f>PROPER(sales_dataset[[#This Row],[Region cleaned]])</f>
        <v>East</v>
      </c>
      <c r="H503" t="s">
        <v>140</v>
      </c>
      <c r="I503" t="str">
        <f>IF(TRIM(sales_dataset[[#This Row],[SalespersonName]])="",I506,PROPER(TRIM(sales_dataset[[#This Row],[SalespersonName]])))</f>
        <v>Raj</v>
      </c>
      <c r="J503" s="1" t="s">
        <v>293</v>
      </c>
      <c r="K503" s="1" t="str">
        <f>PROPER(sales_dataset[[#This Row],[ProductCategory cleaned]])</f>
        <v>0</v>
      </c>
      <c r="L503" s="1" t="str">
        <f>PROPER(sales_dataset[[#This Row],[ProductName]])</f>
        <v>Sofa</v>
      </c>
      <c r="M503">
        <f>ABS(sales_dataset!W:W)</f>
        <v>1</v>
      </c>
      <c r="N503">
        <f>ABS(sales_dataset[[#This Row],[Column4]])</f>
        <v>500</v>
      </c>
      <c r="O503">
        <f t="shared" si="7"/>
        <v>500</v>
      </c>
    </row>
    <row r="504" spans="1:15" x14ac:dyDescent="0.3">
      <c r="A504" s="1" t="s">
        <v>750</v>
      </c>
      <c r="B504" s="2">
        <v>45399</v>
      </c>
      <c r="C504" s="1" t="str">
        <f>IF(TRIM(sales_dataset[[#This Row],[SalesChannel]])="",sales_dataset!C505,PROPER(TRIM(sales_dataset[[#This Row],[SalesChannel]])))</f>
        <v>Store</v>
      </c>
      <c r="D504" s="1" t="s">
        <v>257</v>
      </c>
      <c r="E504" s="1" t="str">
        <f>IF(TRIM(sales_dataset[[#This Row],[CustomerName]])="",sales_dataset!F510, PROPER(TRIM(sales_dataset[[#This Row],[CustomerName]])))</f>
        <v>Amit</v>
      </c>
      <c r="F504" s="1" t="str">
        <f>IF(TRIM(sales_dataset[[#This Row],[City]])="", sales_dataset!$H$3, PROPER(TRIM(sales_dataset[[#This Row],[City]])))</f>
        <v>Mumbai</v>
      </c>
      <c r="G504" t="str">
        <f>PROPER(sales_dataset[[#This Row],[Region cleaned]])</f>
        <v>South</v>
      </c>
      <c r="H504" t="s">
        <v>241</v>
      </c>
      <c r="I504" t="str">
        <f>IF(TRIM(sales_dataset[[#This Row],[SalespersonName]])="",I507,PROPER(TRIM(sales_dataset[[#This Row],[SalespersonName]])))</f>
        <v>Anita</v>
      </c>
      <c r="J504" s="1" t="s">
        <v>353</v>
      </c>
      <c r="K504" s="1" t="str">
        <f>PROPER(sales_dataset[[#This Row],[ProductCategory cleaned]])</f>
        <v>Electronics</v>
      </c>
      <c r="L504" s="1" t="str">
        <f>PROPER(sales_dataset[[#This Row],[ProductName]])</f>
        <v>Laptop</v>
      </c>
      <c r="M504">
        <f>ABS(sales_dataset!W:W)</f>
        <v>1</v>
      </c>
      <c r="N504">
        <f>ABS(sales_dataset[[#This Row],[Column4]])</f>
        <v>500</v>
      </c>
      <c r="O504">
        <f t="shared" si="7"/>
        <v>500</v>
      </c>
    </row>
    <row r="505" spans="1:15" x14ac:dyDescent="0.3">
      <c r="A505" s="1" t="s">
        <v>453</v>
      </c>
      <c r="B505" s="2">
        <v>45332</v>
      </c>
      <c r="C505" s="1" t="str">
        <f>IF(TRIM(sales_dataset[[#This Row],[SalesChannel]])="",sales_dataset!C506,PROPER(TRIM(sales_dataset[[#This Row],[SalesChannel]])))</f>
        <v>Store</v>
      </c>
      <c r="D505" s="1" t="s">
        <v>355</v>
      </c>
      <c r="E505" s="1" t="str">
        <f>IF(TRIM(sales_dataset[[#This Row],[CustomerName]])="",sales_dataset!F511, PROPER(TRIM(sales_dataset[[#This Row],[CustomerName]])))</f>
        <v>Amit</v>
      </c>
      <c r="F505" s="1" t="str">
        <f>IF(TRIM(sales_dataset[[#This Row],[City]])="", sales_dataset!$H$3, PROPER(TRIM(sales_dataset[[#This Row],[City]])))</f>
        <v>Delhi</v>
      </c>
      <c r="G505" t="str">
        <f>PROPER(sales_dataset[[#This Row],[Region cleaned]])</f>
        <v>West</v>
      </c>
      <c r="H505" t="s">
        <v>103</v>
      </c>
      <c r="I505" t="str">
        <f>IF(TRIM(sales_dataset[[#This Row],[SalespersonName]])="",I508,PROPER(TRIM(sales_dataset[[#This Row],[SalespersonName]])))</f>
        <v>Anita</v>
      </c>
      <c r="J505" s="1" t="s">
        <v>100</v>
      </c>
      <c r="K505" s="1" t="str">
        <f>PROPER(sales_dataset[[#This Row],[ProductCategory cleaned]])</f>
        <v>0</v>
      </c>
      <c r="L505" s="1" t="str">
        <f>PROPER(sales_dataset[[#This Row],[ProductName]])</f>
        <v/>
      </c>
      <c r="M505">
        <f>ABS(sales_dataset!W:W)</f>
        <v>4</v>
      </c>
      <c r="N505">
        <f>ABS(sales_dataset[[#This Row],[Column4]])</f>
        <v>1500</v>
      </c>
      <c r="O505">
        <f t="shared" si="7"/>
        <v>6000</v>
      </c>
    </row>
    <row r="506" spans="1:15" x14ac:dyDescent="0.3">
      <c r="A506" s="1" t="s">
        <v>356</v>
      </c>
      <c r="B506" s="2">
        <v>45362</v>
      </c>
      <c r="C506" s="1" t="str">
        <f>IF(TRIM(sales_dataset[[#This Row],[SalesChannel]])="",sales_dataset!C507,PROPER(TRIM(sales_dataset[[#This Row],[SalesChannel]])))</f>
        <v>Store</v>
      </c>
      <c r="D506" s="1" t="s">
        <v>302</v>
      </c>
      <c r="E506" s="1" t="str">
        <f>IF(TRIM(sales_dataset[[#This Row],[CustomerName]])="",sales_dataset!F512, PROPER(TRIM(sales_dataset[[#This Row],[CustomerName]])))</f>
        <v>Priya</v>
      </c>
      <c r="F506" s="1" t="str">
        <f>IF(TRIM(sales_dataset[[#This Row],[City]])="", sales_dataset!$H$3, PROPER(TRIM(sales_dataset[[#This Row],[City]])))</f>
        <v>Mumbai</v>
      </c>
      <c r="G506" t="str">
        <f>PROPER(sales_dataset[[#This Row],[Region cleaned]])</f>
        <v>East</v>
      </c>
      <c r="H506" t="s">
        <v>209</v>
      </c>
      <c r="I506" t="str">
        <f>IF(TRIM(sales_dataset[[#This Row],[SalespersonName]])="",I509,PROPER(TRIM(sales_dataset[[#This Row],[SalespersonName]])))</f>
        <v>Anita</v>
      </c>
      <c r="J506" s="1" t="s">
        <v>293</v>
      </c>
      <c r="K506" s="1" t="str">
        <f>PROPER(sales_dataset[[#This Row],[ProductCategory cleaned]])</f>
        <v>Clothing</v>
      </c>
      <c r="L506" s="1" t="str">
        <f>PROPER(sales_dataset[[#This Row],[ProductName]])</f>
        <v>Shirt</v>
      </c>
      <c r="M506">
        <f>ABS(sales_dataset!W:W)</f>
        <v>3</v>
      </c>
      <c r="N506">
        <f>ABS(sales_dataset[[#This Row],[Column4]])</f>
        <v>2500</v>
      </c>
      <c r="O506">
        <f t="shared" si="7"/>
        <v>7500</v>
      </c>
    </row>
    <row r="507" spans="1:15" x14ac:dyDescent="0.3">
      <c r="A507" s="1" t="s">
        <v>771</v>
      </c>
      <c r="B507" s="2">
        <v>45311</v>
      </c>
      <c r="C507" s="1" t="str">
        <f>IF(TRIM(sales_dataset[[#This Row],[SalesChannel]])="",sales_dataset!C508,PROPER(TRIM(sales_dataset[[#This Row],[SalesChannel]])))</f>
        <v>Online</v>
      </c>
      <c r="D507" s="1" t="s">
        <v>165</v>
      </c>
      <c r="E507" s="1" t="str">
        <f>IF(TRIM(sales_dataset[[#This Row],[CustomerName]])="",sales_dataset!F513, PROPER(TRIM(sales_dataset[[#This Row],[CustomerName]])))</f>
        <v>Priya</v>
      </c>
      <c r="F507" s="1" t="str">
        <f>IF(TRIM(sales_dataset[[#This Row],[City]])="", sales_dataset!$H$3, PROPER(TRIM(sales_dataset[[#This Row],[City]])))</f>
        <v>Bengaluru</v>
      </c>
      <c r="G507" t="str">
        <f>PROPER(sales_dataset[[#This Row],[Region cleaned]])</f>
        <v>West</v>
      </c>
      <c r="H507" t="s">
        <v>99</v>
      </c>
      <c r="I507" t="str">
        <f>IF(TRIM(sales_dataset[[#This Row],[SalespersonName]])="",I510,PROPER(TRIM(sales_dataset[[#This Row],[SalespersonName]])))</f>
        <v>Anita</v>
      </c>
      <c r="J507" s="1" t="s">
        <v>477</v>
      </c>
      <c r="K507" s="1" t="str">
        <f>PROPER(sales_dataset[[#This Row],[ProductCategory cleaned]])</f>
        <v>0</v>
      </c>
      <c r="L507" s="1" t="str">
        <f>PROPER(sales_dataset[[#This Row],[ProductName]])</f>
        <v>Shirt</v>
      </c>
      <c r="M507">
        <f>ABS(sales_dataset!W:W)</f>
        <v>4</v>
      </c>
      <c r="N507">
        <f>ABS(sales_dataset[[#This Row],[Column4]])</f>
        <v>2500</v>
      </c>
      <c r="O507">
        <f t="shared" si="7"/>
        <v>10000</v>
      </c>
    </row>
    <row r="508" spans="1:15" x14ac:dyDescent="0.3">
      <c r="A508" s="1" t="s">
        <v>753</v>
      </c>
      <c r="B508" s="2">
        <v>45473</v>
      </c>
      <c r="C508" s="1" t="str">
        <f>IF(TRIM(sales_dataset[[#This Row],[SalesChannel]])="",sales_dataset!C509,PROPER(TRIM(sales_dataset[[#This Row],[SalesChannel]])))</f>
        <v>ONLINE</v>
      </c>
      <c r="D508" s="1" t="s">
        <v>393</v>
      </c>
      <c r="E508" s="1" t="str">
        <f>IF(TRIM(sales_dataset[[#This Row],[CustomerName]])="",sales_dataset!F514, PROPER(TRIM(sales_dataset[[#This Row],[CustomerName]])))</f>
        <v>Amit</v>
      </c>
      <c r="F508" s="1" t="str">
        <f>IF(TRIM(sales_dataset[[#This Row],[City]])="", sales_dataset!$H$3, PROPER(TRIM(sales_dataset[[#This Row],[City]])))</f>
        <v>Delhi</v>
      </c>
      <c r="G508" t="str">
        <f>PROPER(sales_dataset[[#This Row],[Region cleaned]])</f>
        <v>North</v>
      </c>
      <c r="H508" t="s">
        <v>413</v>
      </c>
      <c r="I508" t="str">
        <f>IF(TRIM(sales_dataset[[#This Row],[SalespersonName]])="",I511,PROPER(TRIM(sales_dataset[[#This Row],[SalespersonName]])))</f>
        <v>Sam</v>
      </c>
      <c r="J508" s="1" t="s">
        <v>206</v>
      </c>
      <c r="K508" s="1" t="str">
        <f>PROPER(sales_dataset[[#This Row],[ProductCategory cleaned]])</f>
        <v>Electronics</v>
      </c>
      <c r="L508" s="1" t="str">
        <f>PROPER(sales_dataset[[#This Row],[ProductName]])</f>
        <v>Shirt</v>
      </c>
      <c r="M508">
        <f>ABS(sales_dataset!W:W)</f>
        <v>4</v>
      </c>
      <c r="N508">
        <f>ABS(sales_dataset[[#This Row],[Column4]])</f>
        <v>0</v>
      </c>
      <c r="O508">
        <f t="shared" si="7"/>
        <v>0</v>
      </c>
    </row>
    <row r="509" spans="1:15" x14ac:dyDescent="0.3">
      <c r="A509" s="1" t="s">
        <v>397</v>
      </c>
      <c r="B509" s="2">
        <v>45466</v>
      </c>
      <c r="C509" s="1" t="str">
        <f>IF(TRIM(sales_dataset[[#This Row],[SalesChannel]])="",sales_dataset!C510,PROPER(TRIM(sales_dataset[[#This Row],[SalesChannel]])))</f>
        <v>Online</v>
      </c>
      <c r="D509" s="1" t="s">
        <v>122</v>
      </c>
      <c r="E509" s="1" t="str">
        <f>IF(TRIM(sales_dataset[[#This Row],[CustomerName]])="",sales_dataset!F515, PROPER(TRIM(sales_dataset[[#This Row],[CustomerName]])))</f>
        <v>Priya</v>
      </c>
      <c r="F509" s="1" t="str">
        <f>IF(TRIM(sales_dataset[[#This Row],[City]])="", sales_dataset!$H$3, PROPER(TRIM(sales_dataset[[#This Row],[City]])))</f>
        <v>Bengaluru</v>
      </c>
      <c r="G509" t="str">
        <f>PROPER(sales_dataset[[#This Row],[Region cleaned]])</f>
        <v>North</v>
      </c>
      <c r="H509" t="s">
        <v>218</v>
      </c>
      <c r="I509" t="str">
        <f>IF(TRIM(sales_dataset[[#This Row],[SalespersonName]])="",I512,PROPER(TRIM(sales_dataset[[#This Row],[SalespersonName]])))</f>
        <v>Megha</v>
      </c>
      <c r="J509" s="1" t="s">
        <v>242</v>
      </c>
      <c r="K509" s="1" t="str">
        <f>PROPER(sales_dataset[[#This Row],[ProductCategory cleaned]])</f>
        <v>Home</v>
      </c>
      <c r="L509" s="1" t="str">
        <f>PROPER(sales_dataset[[#This Row],[ProductName]])</f>
        <v>Laptop</v>
      </c>
      <c r="M509">
        <f>ABS(sales_dataset!W:W)</f>
        <v>0</v>
      </c>
      <c r="N509">
        <f>ABS(sales_dataset[[#This Row],[Column4]])</f>
        <v>2500</v>
      </c>
      <c r="O509">
        <f t="shared" si="7"/>
        <v>0</v>
      </c>
    </row>
    <row r="510" spans="1:15" x14ac:dyDescent="0.3">
      <c r="A510" s="1" t="s">
        <v>277</v>
      </c>
      <c r="B510" s="2">
        <v>45565</v>
      </c>
      <c r="C510" s="1" t="str">
        <f>IF(TRIM(sales_dataset[[#This Row],[SalesChannel]])="",sales_dataset!C511,PROPER(TRIM(sales_dataset[[#This Row],[SalesChannel]])))</f>
        <v>Store</v>
      </c>
      <c r="D510" s="1" t="s">
        <v>278</v>
      </c>
      <c r="E510" s="1" t="str">
        <f>IF(TRIM(sales_dataset[[#This Row],[CustomerName]])="",sales_dataset!F516, PROPER(TRIM(sales_dataset[[#This Row],[CustomerName]])))</f>
        <v>Amit</v>
      </c>
      <c r="F510" s="1" t="str">
        <f>IF(TRIM(sales_dataset[[#This Row],[City]])="", sales_dataset!$H$3, PROPER(TRIM(sales_dataset[[#This Row],[City]])))</f>
        <v>Bengaluru</v>
      </c>
      <c r="G510" t="str">
        <f>PROPER(sales_dataset[[#This Row],[Region cleaned]])</f>
        <v>West</v>
      </c>
      <c r="H510" t="s">
        <v>99</v>
      </c>
      <c r="I510" t="str">
        <f>IF(TRIM(sales_dataset[[#This Row],[SalespersonName]])="",I513,PROPER(TRIM(sales_dataset[[#This Row],[SalespersonName]])))</f>
        <v>Sam</v>
      </c>
      <c r="J510" s="1" t="s">
        <v>279</v>
      </c>
      <c r="K510" s="1" t="str">
        <f>PROPER(sales_dataset[[#This Row],[ProductCategory cleaned]])</f>
        <v>Home</v>
      </c>
      <c r="L510" s="1" t="str">
        <f>PROPER(sales_dataset[[#This Row],[ProductName]])</f>
        <v>Sofa</v>
      </c>
      <c r="M510">
        <f>ABS(sales_dataset!W:W)</f>
        <v>1</v>
      </c>
      <c r="N510">
        <f>ABS(sales_dataset[[#This Row],[Column4]])</f>
        <v>0</v>
      </c>
      <c r="O510">
        <f t="shared" si="7"/>
        <v>0</v>
      </c>
    </row>
    <row r="511" spans="1:15" x14ac:dyDescent="0.3">
      <c r="A511" s="1" t="s">
        <v>833</v>
      </c>
      <c r="B511" s="2">
        <v>45498</v>
      </c>
      <c r="C511" s="1" t="str">
        <f>IF(TRIM(sales_dataset[[#This Row],[SalesChannel]])="",sales_dataset!C512,PROPER(TRIM(sales_dataset[[#This Row],[SalesChannel]])))</f>
        <v>Online</v>
      </c>
      <c r="D511" s="1" t="s">
        <v>333</v>
      </c>
      <c r="E511" s="1" t="str">
        <f>IF(TRIM(sales_dataset[[#This Row],[CustomerName]])="",sales_dataset!F517, PROPER(TRIM(sales_dataset[[#This Row],[CustomerName]])))</f>
        <v>Sara</v>
      </c>
      <c r="F511" s="1" t="str">
        <f>IF(TRIM(sales_dataset[[#This Row],[City]])="", sales_dataset!$H$3, PROPER(TRIM(sales_dataset[[#This Row],[City]])))</f>
        <v>Chennai</v>
      </c>
      <c r="G511" t="str">
        <f>PROPER(sales_dataset[[#This Row],[Region cleaned]])</f>
        <v>North</v>
      </c>
      <c r="H511" t="s">
        <v>237</v>
      </c>
      <c r="I511" t="str">
        <f>IF(TRIM(sales_dataset[[#This Row],[SalespersonName]])="",I514,PROPER(TRIM(sales_dataset[[#This Row],[SalespersonName]])))</f>
        <v>Anita</v>
      </c>
      <c r="J511" s="1" t="s">
        <v>276</v>
      </c>
      <c r="K511" s="1" t="str">
        <f>PROPER(sales_dataset[[#This Row],[ProductCategory cleaned]])</f>
        <v>Electronics</v>
      </c>
      <c r="L511" s="1" t="str">
        <f>PROPER(sales_dataset[[#This Row],[ProductName]])</f>
        <v/>
      </c>
      <c r="M511">
        <f>ABS(sales_dataset!W:W)</f>
        <v>4</v>
      </c>
      <c r="N511">
        <f>ABS(sales_dataset[[#This Row],[Column4]])</f>
        <v>1500</v>
      </c>
      <c r="O511">
        <f t="shared" si="7"/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18E7-6B03-4F8D-8910-EFCD48D10D12}">
  <dimension ref="A1:AE511"/>
  <sheetViews>
    <sheetView topLeftCell="Q1" workbookViewId="0">
      <selection activeCell="AD1" sqref="AD1:AD1048576"/>
    </sheetView>
  </sheetViews>
  <sheetFormatPr defaultRowHeight="14.4" x14ac:dyDescent="0.3"/>
  <cols>
    <col min="3" max="3" width="14.33203125" bestFit="1" customWidth="1"/>
    <col min="6" max="6" width="16.44140625" bestFit="1" customWidth="1"/>
    <col min="8" max="8" width="13.44140625" bestFit="1" customWidth="1"/>
    <col min="10" max="10" width="15" bestFit="1" customWidth="1"/>
    <col min="11" max="11" width="18.33203125" bestFit="1" customWidth="1"/>
    <col min="14" max="14" width="18.33203125" bestFit="1" customWidth="1"/>
    <col min="17" max="17" width="10.5546875" bestFit="1" customWidth="1"/>
    <col min="18" max="18" width="24.77734375" bestFit="1" customWidth="1"/>
    <col min="20" max="20" width="14.88671875" bestFit="1" customWidth="1"/>
    <col min="22" max="22" width="14.77734375" bestFit="1" customWidth="1"/>
    <col min="23" max="23" width="14.77734375" customWidth="1"/>
    <col min="25" max="26" width="11.88671875" customWidth="1"/>
    <col min="28" max="28" width="14.77734375" bestFit="1" customWidth="1"/>
    <col min="29" max="29" width="10.77734375" bestFit="1" customWidth="1"/>
    <col min="30" max="30" width="15.88671875" bestFit="1" customWidth="1"/>
    <col min="31" max="31" width="25.21875" bestFit="1" customWidth="1"/>
  </cols>
  <sheetData>
    <row r="1" spans="1:31" x14ac:dyDescent="0.3">
      <c r="A1" t="s">
        <v>896</v>
      </c>
      <c r="B1" t="s">
        <v>900</v>
      </c>
      <c r="C1" t="s">
        <v>2</v>
      </c>
      <c r="D1" t="s">
        <v>901</v>
      </c>
      <c r="E1" t="s">
        <v>902</v>
      </c>
      <c r="F1" t="s">
        <v>4</v>
      </c>
      <c r="G1" t="s">
        <v>903</v>
      </c>
      <c r="H1" t="s">
        <v>5</v>
      </c>
      <c r="I1" t="s">
        <v>904</v>
      </c>
      <c r="J1" t="s">
        <v>6</v>
      </c>
      <c r="K1" t="s">
        <v>890</v>
      </c>
      <c r="L1" t="s">
        <v>886</v>
      </c>
      <c r="M1" t="s">
        <v>892</v>
      </c>
      <c r="N1" t="s">
        <v>8</v>
      </c>
      <c r="O1" t="s">
        <v>895</v>
      </c>
      <c r="P1" t="s">
        <v>906</v>
      </c>
      <c r="Q1" t="s">
        <v>10</v>
      </c>
      <c r="R1" t="s">
        <v>891</v>
      </c>
      <c r="S1" t="s">
        <v>907</v>
      </c>
      <c r="T1" t="s">
        <v>11</v>
      </c>
      <c r="U1" t="s">
        <v>908</v>
      </c>
      <c r="V1" t="s">
        <v>12</v>
      </c>
      <c r="W1" t="s">
        <v>885</v>
      </c>
      <c r="X1" t="s">
        <v>909</v>
      </c>
      <c r="Y1" t="s">
        <v>13</v>
      </c>
      <c r="Z1" t="s">
        <v>893</v>
      </c>
      <c r="AA1" t="s">
        <v>910</v>
      </c>
      <c r="AB1" t="s">
        <v>14</v>
      </c>
      <c r="AC1" t="s">
        <v>894</v>
      </c>
      <c r="AD1" t="s">
        <v>898</v>
      </c>
      <c r="AE1" t="s">
        <v>897</v>
      </c>
    </row>
    <row r="2" spans="1:31" x14ac:dyDescent="0.3">
      <c r="C2" s="1" t="s">
        <v>16</v>
      </c>
      <c r="F2" s="1" t="s">
        <v>18</v>
      </c>
      <c r="H2" s="1" t="s">
        <v>19</v>
      </c>
      <c r="J2" s="1" t="s">
        <v>19</v>
      </c>
      <c r="K2" s="1" t="str">
        <f>IF(TRIM(sales_dataset[[#This Row],[Region]])="", J4, PROPER(TRIM(sales_dataset[[#This Row],[Region]])))</f>
        <v>NORTH</v>
      </c>
      <c r="N2" s="1" t="s">
        <v>21</v>
      </c>
      <c r="Q2" s="1" t="s">
        <v>19</v>
      </c>
      <c r="R2" s="1" t="str">
        <f>IF(TRIM(sales_dataset[[#This Row],[ProductCategory]])="", R20, PROPER(TRIM(sales_dataset[[#This Row],[ProductCategory]])))</f>
        <v>Home</v>
      </c>
      <c r="T2" s="1" t="s">
        <v>23</v>
      </c>
      <c r="V2">
        <v>1</v>
      </c>
      <c r="W2" t="str">
        <f>IF(TRIM(sales_dataset[[#This Row],[Quantity]])="",V8,PROPER(TRIM(sales_dataset[[#This Row],[Quantity]])))</f>
        <v>1</v>
      </c>
      <c r="Y2">
        <v>1500</v>
      </c>
      <c r="Z2" t="str">
        <f>IF(TRIM(sales_dataset[[#This Row],[UnitPrice]])="",Y4,PROPER(TRIM(sales_dataset[[#This Row],[UnitPrice]])))</f>
        <v>1500</v>
      </c>
      <c r="AB2">
        <v>750</v>
      </c>
      <c r="AC2" s="1" t="str">
        <f>IF(TRIM(sales_dataset[[#This Row],[TotalRevenue]])="",AB4,PROPER(TRIM(sales_dataset[[#This Row],[TotalRevenue]])))</f>
        <v>750</v>
      </c>
      <c r="AD2" s="1">
        <f>ABS(sales_dataset[[#This Row],[Column5]])</f>
        <v>750</v>
      </c>
      <c r="AE2" s="1">
        <f>sales_dataset[[#This Row],[Column17]]*sales_dataset[[#This Row],[Column16]]</f>
        <v>0</v>
      </c>
    </row>
    <row r="3" spans="1:31" x14ac:dyDescent="0.3">
      <c r="C3" s="1" t="s">
        <v>25</v>
      </c>
      <c r="F3" s="1" t="s">
        <v>27</v>
      </c>
      <c r="H3" s="1" t="s">
        <v>28</v>
      </c>
      <c r="J3" s="1" t="s">
        <v>19</v>
      </c>
      <c r="K3" s="1" t="str">
        <f>IF(TRIM(sales_dataset[[#This Row],[Region]])="", J5, PROPER(TRIM(sales_dataset[[#This Row],[Region]])))</f>
        <v>North</v>
      </c>
      <c r="N3" s="1" t="s">
        <v>30</v>
      </c>
      <c r="Q3" s="1" t="s">
        <v>32</v>
      </c>
      <c r="R3" s="1" t="str">
        <f>IF(TRIM(sales_dataset[[#This Row],[ProductCategory]])="", R21, PROPER(TRIM(sales_dataset[[#This Row],[ProductCategory]])))</f>
        <v>Electronics</v>
      </c>
      <c r="T3" s="1" t="s">
        <v>33</v>
      </c>
      <c r="V3">
        <v>4</v>
      </c>
      <c r="W3" t="str">
        <f>IF(TRIM(sales_dataset[[#This Row],[Quantity]])="",V9,PROPER(TRIM(sales_dataset[[#This Row],[Quantity]])))</f>
        <v>4</v>
      </c>
      <c r="Y3">
        <v>-100</v>
      </c>
      <c r="Z3" t="str">
        <f>IF(TRIM(sales_dataset[[#This Row],[UnitPrice]])="",Y5,PROPER(TRIM(sales_dataset[[#This Row],[UnitPrice]])))</f>
        <v>-100</v>
      </c>
      <c r="AB3">
        <v>-400</v>
      </c>
      <c r="AC3" s="1" t="str">
        <f>IF(TRIM(sales_dataset[[#This Row],[TotalRevenue]])="",AB5,PROPER(TRIM(sales_dataset[[#This Row],[TotalRevenue]])))</f>
        <v>-400</v>
      </c>
      <c r="AD3" s="1">
        <f>ABS(sales_dataset[[#This Row],[Column5]])</f>
        <v>400</v>
      </c>
      <c r="AE3" s="1">
        <f>sales_dataset[[#This Row],[Column17]]*sales_dataset[[#This Row],[Column16]]</f>
        <v>0</v>
      </c>
    </row>
    <row r="4" spans="1:31" x14ac:dyDescent="0.3">
      <c r="C4" s="1" t="s">
        <v>35</v>
      </c>
      <c r="F4" s="1" t="s">
        <v>18</v>
      </c>
      <c r="H4" s="1" t="s">
        <v>28</v>
      </c>
      <c r="J4" s="1" t="s">
        <v>37</v>
      </c>
      <c r="K4" s="1" t="str">
        <f>IF(TRIM(sales_dataset[[#This Row],[Region]])="", J6, PROPER(TRIM(sales_dataset[[#This Row],[Region]])))</f>
        <v>North</v>
      </c>
      <c r="N4" s="1" t="s">
        <v>39</v>
      </c>
      <c r="Q4" s="1" t="s">
        <v>41</v>
      </c>
      <c r="R4" s="1" t="str">
        <f>IF(TRIM(sales_dataset[[#This Row],[ProductCategory]])="", R22, PROPER(TRIM(sales_dataset[[#This Row],[ProductCategory]])))</f>
        <v>Home</v>
      </c>
      <c r="T4" s="1" t="s">
        <v>33</v>
      </c>
      <c r="V4">
        <v>2</v>
      </c>
      <c r="W4" t="str">
        <f>IF(TRIM(sales_dataset[[#This Row],[Quantity]])="",V10,PROPER(TRIM(sales_dataset[[#This Row],[Quantity]])))</f>
        <v>2</v>
      </c>
      <c r="Z4">
        <f>IF(TRIM(sales_dataset[[#This Row],[UnitPrice]])="",Y6,PROPER(TRIM(sales_dataset[[#This Row],[UnitPrice]])))</f>
        <v>-100</v>
      </c>
      <c r="AC4" s="1">
        <f>IF(TRIM(sales_dataset[[#This Row],[TotalRevenue]])="",AB6,PROPER(TRIM(sales_dataset[[#This Row],[TotalRevenue]])))</f>
        <v>-100</v>
      </c>
      <c r="AD4" s="1">
        <f>ABS(sales_dataset[[#This Row],[Column5]])</f>
        <v>100</v>
      </c>
      <c r="AE4" s="1">
        <f>sales_dataset[[#This Row],[Column17]]*sales_dataset[[#This Row],[Column16]]</f>
        <v>0</v>
      </c>
    </row>
    <row r="5" spans="1:31" x14ac:dyDescent="0.3">
      <c r="C5" s="1" t="s">
        <v>43</v>
      </c>
      <c r="F5" s="1" t="s">
        <v>18</v>
      </c>
      <c r="H5" s="1" t="s">
        <v>45</v>
      </c>
      <c r="J5" s="1" t="s">
        <v>46</v>
      </c>
      <c r="K5" s="1" t="str">
        <f>IF(TRIM(sales_dataset[[#This Row],[Region]])="", J7, PROPER(TRIM(sales_dataset[[#This Row],[Region]])))</f>
        <v>North</v>
      </c>
      <c r="N5" s="1" t="s">
        <v>48</v>
      </c>
      <c r="Q5" s="1" t="s">
        <v>32</v>
      </c>
      <c r="R5" s="1" t="str">
        <f>IF(TRIM(sales_dataset[[#This Row],[ProductCategory]])="", R23, PROPER(TRIM(sales_dataset[[#This Row],[ProductCategory]])))</f>
        <v>Electronics</v>
      </c>
      <c r="T5" s="1" t="s">
        <v>23</v>
      </c>
      <c r="V5">
        <v>5</v>
      </c>
      <c r="W5" t="str">
        <f>IF(TRIM(sales_dataset[[#This Row],[Quantity]])="",V11,PROPER(TRIM(sales_dataset[[#This Row],[Quantity]])))</f>
        <v>5</v>
      </c>
      <c r="Y5">
        <v>1500</v>
      </c>
      <c r="Z5" t="str">
        <f>IF(TRIM(sales_dataset[[#This Row],[UnitPrice]])="",Y7,PROPER(TRIM(sales_dataset[[#This Row],[UnitPrice]])))</f>
        <v>1500</v>
      </c>
      <c r="AB5">
        <v>7500</v>
      </c>
      <c r="AC5" s="1" t="str">
        <f>IF(TRIM(sales_dataset[[#This Row],[TotalRevenue]])="",AB7,PROPER(TRIM(sales_dataset[[#This Row],[TotalRevenue]])))</f>
        <v>7500</v>
      </c>
      <c r="AD5" s="1">
        <f>ABS(sales_dataset[[#This Row],[Column5]])</f>
        <v>7500</v>
      </c>
      <c r="AE5" s="1">
        <f>sales_dataset[[#This Row],[Column17]]*sales_dataset[[#This Row],[Column16]]</f>
        <v>0</v>
      </c>
    </row>
    <row r="6" spans="1:31" x14ac:dyDescent="0.3">
      <c r="C6" s="1" t="s">
        <v>51</v>
      </c>
      <c r="F6" s="1" t="s">
        <v>53</v>
      </c>
      <c r="H6" s="1" t="s">
        <v>54</v>
      </c>
      <c r="J6" s="1" t="s">
        <v>19</v>
      </c>
      <c r="K6" s="1" t="str">
        <f>IF(TRIM(sales_dataset[[#This Row],[Region]])="", J8, PROPER(TRIM(sales_dataset[[#This Row],[Region]])))</f>
        <v>West</v>
      </c>
      <c r="N6" s="1" t="s">
        <v>56</v>
      </c>
      <c r="Q6" s="1" t="s">
        <v>41</v>
      </c>
      <c r="R6" s="1" t="str">
        <f>IF(TRIM(sales_dataset[[#This Row],[ProductCategory]])="", R24, PROPER(TRIM(sales_dataset[[#This Row],[ProductCategory]])))</f>
        <v>Home</v>
      </c>
      <c r="T6" s="1" t="s">
        <v>23</v>
      </c>
      <c r="V6">
        <v>1</v>
      </c>
      <c r="W6" t="str">
        <f>IF(TRIM(sales_dataset[[#This Row],[Quantity]])="",V12,PROPER(TRIM(sales_dataset[[#This Row],[Quantity]])))</f>
        <v>1</v>
      </c>
      <c r="Y6">
        <v>-100</v>
      </c>
      <c r="Z6" t="str">
        <f>IF(TRIM(sales_dataset[[#This Row],[UnitPrice]])="",Y8,PROPER(TRIM(sales_dataset[[#This Row],[UnitPrice]])))</f>
        <v>-100</v>
      </c>
      <c r="AB6">
        <v>-100</v>
      </c>
      <c r="AC6" s="1" t="str">
        <f>IF(TRIM(sales_dataset[[#This Row],[TotalRevenue]])="",AB8,PROPER(TRIM(sales_dataset[[#This Row],[TotalRevenue]])))</f>
        <v>-100</v>
      </c>
      <c r="AD6" s="1">
        <f>ABS(sales_dataset[[#This Row],[Column5]])</f>
        <v>100</v>
      </c>
      <c r="AE6" s="1">
        <f>sales_dataset[[#This Row],[Column17]]*sales_dataset[[#This Row],[Column16]]</f>
        <v>0</v>
      </c>
    </row>
    <row r="7" spans="1:31" x14ac:dyDescent="0.3">
      <c r="C7" s="1"/>
      <c r="F7" s="1" t="s">
        <v>60</v>
      </c>
      <c r="H7" s="1" t="s">
        <v>19</v>
      </c>
      <c r="J7" s="1" t="s">
        <v>19</v>
      </c>
      <c r="K7" s="1" t="str">
        <f>IF(TRIM(sales_dataset[[#This Row],[Region]])="", J9, PROPER(TRIM(sales_dataset[[#This Row],[Region]])))</f>
        <v>NORTH</v>
      </c>
      <c r="N7" s="1" t="s">
        <v>48</v>
      </c>
      <c r="Q7" s="1" t="s">
        <v>63</v>
      </c>
      <c r="R7" s="1" t="str">
        <f>IF(TRIM(sales_dataset[[#This Row],[ProductCategory]])="", R25, PROPER(TRIM(sales_dataset[[#This Row],[ProductCategory]])))</f>
        <v>Clothing</v>
      </c>
      <c r="T7" s="1" t="s">
        <v>33</v>
      </c>
      <c r="V7">
        <v>-1</v>
      </c>
      <c r="W7" t="str">
        <f>IF(TRIM(sales_dataset[[#This Row],[Quantity]])="",V13,PROPER(TRIM(sales_dataset[[#This Row],[Quantity]])))</f>
        <v>-1</v>
      </c>
      <c r="Y7">
        <v>1500</v>
      </c>
      <c r="Z7" t="str">
        <f>IF(TRIM(sales_dataset[[#This Row],[UnitPrice]])="",Y9,PROPER(TRIM(sales_dataset[[#This Row],[UnitPrice]])))</f>
        <v>1500</v>
      </c>
      <c r="AB7">
        <v>-1500</v>
      </c>
      <c r="AC7" s="1" t="str">
        <f>IF(TRIM(sales_dataset[[#This Row],[TotalRevenue]])="",AB9,PROPER(TRIM(sales_dataset[[#This Row],[TotalRevenue]])))</f>
        <v>-1500</v>
      </c>
      <c r="AD7" s="1">
        <f>ABS(sales_dataset[[#This Row],[Column5]])</f>
        <v>1500</v>
      </c>
      <c r="AE7" s="1">
        <f>sales_dataset[[#This Row],[Column17]]*sales_dataset[[#This Row],[Column16]]</f>
        <v>0</v>
      </c>
    </row>
    <row r="8" spans="1:31" x14ac:dyDescent="0.3">
      <c r="C8" s="1" t="s">
        <v>16</v>
      </c>
      <c r="F8" s="1" t="s">
        <v>19</v>
      </c>
      <c r="H8" s="1" t="s">
        <v>28</v>
      </c>
      <c r="J8" s="1" t="s">
        <v>66</v>
      </c>
      <c r="K8" s="1" t="str">
        <f>IF(TRIM(sales_dataset[[#This Row],[Region]])="", J10, PROPER(TRIM(sales_dataset[[#This Row],[Region]])))</f>
        <v>West</v>
      </c>
      <c r="N8" s="1" t="s">
        <v>39</v>
      </c>
      <c r="Q8" s="1" t="s">
        <v>63</v>
      </c>
      <c r="R8" s="1" t="str">
        <f>IF(TRIM(sales_dataset[[#This Row],[ProductCategory]])="", R26, PROPER(TRIM(sales_dataset[[#This Row],[ProductCategory]])))</f>
        <v>Clothing</v>
      </c>
      <c r="T8" s="1" t="s">
        <v>69</v>
      </c>
      <c r="W8">
        <f>IF(TRIM(sales_dataset[[#This Row],[Quantity]])="",V14,PROPER(TRIM(sales_dataset[[#This Row],[Quantity]])))</f>
        <v>-1</v>
      </c>
      <c r="Y8">
        <v>500</v>
      </c>
      <c r="Z8" t="str">
        <f>IF(TRIM(sales_dataset[[#This Row],[UnitPrice]])="",Y10,PROPER(TRIM(sales_dataset[[#This Row],[UnitPrice]])))</f>
        <v>500</v>
      </c>
      <c r="AC8" s="1">
        <f>IF(TRIM(sales_dataset[[#This Row],[TotalRevenue]])="",AB10,PROPER(TRIM(sales_dataset[[#This Row],[TotalRevenue]])))</f>
        <v>-250</v>
      </c>
      <c r="AD8" s="1">
        <f>ABS(sales_dataset[[#This Row],[Column5]])</f>
        <v>250</v>
      </c>
      <c r="AE8" s="1">
        <f>sales_dataset[[#This Row],[Column17]]*sales_dataset[[#This Row],[Column16]]</f>
        <v>0</v>
      </c>
    </row>
    <row r="9" spans="1:31" x14ac:dyDescent="0.3">
      <c r="C9" s="1" t="s">
        <v>25</v>
      </c>
      <c r="F9" s="1" t="s">
        <v>72</v>
      </c>
      <c r="H9" s="1" t="s">
        <v>73</v>
      </c>
      <c r="J9" s="1" t="s">
        <v>37</v>
      </c>
      <c r="K9" s="1" t="str">
        <f>IF(TRIM(sales_dataset[[#This Row],[Region]])="", J11, PROPER(TRIM(sales_dataset[[#This Row],[Region]])))</f>
        <v>North</v>
      </c>
      <c r="N9" s="1" t="s">
        <v>19</v>
      </c>
      <c r="Q9" s="1" t="s">
        <v>41</v>
      </c>
      <c r="R9" s="1" t="str">
        <f>IF(TRIM(sales_dataset[[#This Row],[ProductCategory]])="", R27, PROPER(TRIM(sales_dataset[[#This Row],[ProductCategory]])))</f>
        <v>Home</v>
      </c>
      <c r="T9" s="1" t="s">
        <v>76</v>
      </c>
      <c r="V9">
        <v>4</v>
      </c>
      <c r="W9" t="str">
        <f>IF(TRIM(sales_dataset[[#This Row],[Quantity]])="",V15,PROPER(TRIM(sales_dataset[[#This Row],[Quantity]])))</f>
        <v>4</v>
      </c>
      <c r="Y9">
        <v>2500</v>
      </c>
      <c r="Z9" t="str">
        <f>IF(TRIM(sales_dataset[[#This Row],[UnitPrice]])="",Y11,PROPER(TRIM(sales_dataset[[#This Row],[UnitPrice]])))</f>
        <v>2500</v>
      </c>
      <c r="AB9">
        <v>10000</v>
      </c>
      <c r="AC9" s="1" t="str">
        <f>IF(TRIM(sales_dataset[[#This Row],[TotalRevenue]])="",AB11,PROPER(TRIM(sales_dataset[[#This Row],[TotalRevenue]])))</f>
        <v>10000</v>
      </c>
      <c r="AD9" s="1">
        <f>ABS(sales_dataset[[#This Row],[Column5]])</f>
        <v>10000</v>
      </c>
      <c r="AE9" s="1">
        <f>sales_dataset[[#This Row],[Column17]]*sales_dataset[[#This Row],[Column16]]</f>
        <v>0</v>
      </c>
    </row>
    <row r="10" spans="1:31" x14ac:dyDescent="0.3">
      <c r="C10" s="1" t="s">
        <v>35</v>
      </c>
      <c r="F10" s="1" t="s">
        <v>18</v>
      </c>
      <c r="H10" s="1" t="s">
        <v>79</v>
      </c>
      <c r="J10" s="1" t="s">
        <v>80</v>
      </c>
      <c r="K10" s="1" t="str">
        <f>IF(TRIM(sales_dataset[[#This Row],[Region]])="", J12, PROPER(TRIM(sales_dataset[[#This Row],[Region]])))</f>
        <v>East</v>
      </c>
      <c r="N10" s="1" t="s">
        <v>39</v>
      </c>
      <c r="Q10" s="1" t="s">
        <v>82</v>
      </c>
      <c r="R10" s="1" t="str">
        <f>IF(TRIM(sales_dataset[[#This Row],[ProductCategory]])="", R28, PROPER(TRIM(sales_dataset[[#This Row],[ProductCategory]])))</f>
        <v>Electronics</v>
      </c>
      <c r="T10" s="1" t="s">
        <v>69</v>
      </c>
      <c r="V10">
        <v>5</v>
      </c>
      <c r="W10" t="str">
        <f>IF(TRIM(sales_dataset[[#This Row],[Quantity]])="",V16,PROPER(TRIM(sales_dataset[[#This Row],[Quantity]])))</f>
        <v>5</v>
      </c>
      <c r="Y10">
        <v>-100</v>
      </c>
      <c r="Z10" t="str">
        <f>IF(TRIM(sales_dataset[[#This Row],[UnitPrice]])="",Y12,PROPER(TRIM(sales_dataset[[#This Row],[UnitPrice]])))</f>
        <v>-100</v>
      </c>
      <c r="AB10">
        <v>-250</v>
      </c>
      <c r="AC10" s="1" t="str">
        <f>IF(TRIM(sales_dataset[[#This Row],[TotalRevenue]])="",AB12,PROPER(TRIM(sales_dataset[[#This Row],[TotalRevenue]])))</f>
        <v>-250</v>
      </c>
      <c r="AD10" s="1">
        <f>ABS(sales_dataset[[#This Row],[Column5]])</f>
        <v>250</v>
      </c>
      <c r="AE10" s="1">
        <f>sales_dataset[[#This Row],[Column17]]*sales_dataset[[#This Row],[Column16]]</f>
        <v>0</v>
      </c>
    </row>
    <row r="11" spans="1:31" x14ac:dyDescent="0.3">
      <c r="C11" s="1" t="s">
        <v>43</v>
      </c>
      <c r="F11" s="1" t="s">
        <v>27</v>
      </c>
      <c r="H11" s="1" t="s">
        <v>19</v>
      </c>
      <c r="J11" s="1" t="s">
        <v>46</v>
      </c>
      <c r="K11" s="1" t="str">
        <f>IF(TRIM(sales_dataset[[#This Row],[Region]])="", J13, PROPER(TRIM(sales_dataset[[#This Row],[Region]])))</f>
        <v>North</v>
      </c>
      <c r="N11" s="1" t="s">
        <v>30</v>
      </c>
      <c r="Q11" s="1" t="s">
        <v>63</v>
      </c>
      <c r="R11" s="1" t="str">
        <f>IF(TRIM(sales_dataset[[#This Row],[ProductCategory]])="", R29, PROPER(TRIM(sales_dataset[[#This Row],[ProductCategory]])))</f>
        <v>Clothing</v>
      </c>
      <c r="T11" s="1" t="s">
        <v>87</v>
      </c>
      <c r="V11">
        <v>3</v>
      </c>
      <c r="W11" t="str">
        <f>IF(TRIM(sales_dataset[[#This Row],[Quantity]])="",V17,PROPER(TRIM(sales_dataset[[#This Row],[Quantity]])))</f>
        <v>3</v>
      </c>
      <c r="Z11">
        <f>IF(TRIM(sales_dataset[[#This Row],[UnitPrice]])="",Y13,PROPER(TRIM(sales_dataset[[#This Row],[UnitPrice]])))</f>
        <v>2000</v>
      </c>
      <c r="AC11" s="1">
        <f>IF(TRIM(sales_dataset[[#This Row],[TotalRevenue]])="",AB13,PROPER(TRIM(sales_dataset[[#This Row],[TotalRevenue]])))</f>
        <v>2000</v>
      </c>
      <c r="AD11" s="1">
        <f>ABS(sales_dataset[[#This Row],[Column5]])</f>
        <v>2000</v>
      </c>
      <c r="AE11" s="1">
        <f>sales_dataset[[#This Row],[Column17]]*sales_dataset[[#This Row],[Column16]]</f>
        <v>0</v>
      </c>
    </row>
    <row r="12" spans="1:31" x14ac:dyDescent="0.3">
      <c r="C12" s="1" t="s">
        <v>51</v>
      </c>
      <c r="F12" s="1" t="s">
        <v>53</v>
      </c>
      <c r="H12" s="1" t="s">
        <v>73</v>
      </c>
      <c r="J12" s="1" t="s">
        <v>80</v>
      </c>
      <c r="K12" s="1" t="str">
        <f>IF(TRIM(sales_dataset[[#This Row],[Region]])="", J14, PROPER(TRIM(sales_dataset[[#This Row],[Region]])))</f>
        <v>East</v>
      </c>
      <c r="N12" s="1" t="s">
        <v>30</v>
      </c>
      <c r="Q12" s="1" t="s">
        <v>19</v>
      </c>
      <c r="R12" s="1" t="str">
        <f>IF(TRIM(sales_dataset[[#This Row],[ProductCategory]])="", R30, PROPER(TRIM(sales_dataset[[#This Row],[ProductCategory]])))</f>
        <v>Electronics</v>
      </c>
      <c r="T12" s="1" t="s">
        <v>23</v>
      </c>
      <c r="V12">
        <v>4</v>
      </c>
      <c r="W12" t="str">
        <f>IF(TRIM(sales_dataset[[#This Row],[Quantity]])="",V18,PROPER(TRIM(sales_dataset[[#This Row],[Quantity]])))</f>
        <v>4</v>
      </c>
      <c r="Z12">
        <f>IF(TRIM(sales_dataset[[#This Row],[UnitPrice]])="",Y14,PROPER(TRIM(sales_dataset[[#This Row],[UnitPrice]])))</f>
        <v>0</v>
      </c>
      <c r="AC12" s="1">
        <f>IF(TRIM(sales_dataset[[#This Row],[TotalRevenue]])="",AB14,PROPER(TRIM(sales_dataset[[#This Row],[TotalRevenue]])))</f>
        <v>0</v>
      </c>
      <c r="AD12" s="1">
        <f>ABS(sales_dataset[[#This Row],[Column5]])</f>
        <v>0</v>
      </c>
      <c r="AE12" s="1">
        <f>sales_dataset[[#This Row],[Column17]]*sales_dataset[[#This Row],[Column16]]</f>
        <v>0</v>
      </c>
    </row>
    <row r="13" spans="1:31" x14ac:dyDescent="0.3">
      <c r="C13" s="1" t="s">
        <v>19</v>
      </c>
      <c r="F13" s="1" t="s">
        <v>27</v>
      </c>
      <c r="H13" s="1" t="s">
        <v>28</v>
      </c>
      <c r="J13" s="1" t="s">
        <v>80</v>
      </c>
      <c r="K13" s="1" t="str">
        <f>IF(TRIM(sales_dataset[[#This Row],[Region]])="", J15, PROPER(TRIM(sales_dataset[[#This Row],[Region]])))</f>
        <v>East</v>
      </c>
      <c r="N13" s="1" t="s">
        <v>21</v>
      </c>
      <c r="Q13" s="1" t="s">
        <v>19</v>
      </c>
      <c r="R13" s="1" t="str">
        <f>IF(TRIM(sales_dataset[[#This Row],[ProductCategory]])="", R31, PROPER(TRIM(sales_dataset[[#This Row],[ProductCategory]])))</f>
        <v>Clothing</v>
      </c>
      <c r="T13" s="1" t="s">
        <v>95</v>
      </c>
      <c r="V13">
        <v>1</v>
      </c>
      <c r="W13" t="str">
        <f>IF(TRIM(sales_dataset[[#This Row],[Quantity]])="",V19,PROPER(TRIM(sales_dataset[[#This Row],[Quantity]])))</f>
        <v>1</v>
      </c>
      <c r="Y13">
        <v>2000</v>
      </c>
      <c r="Z13" t="str">
        <f>IF(TRIM(sales_dataset[[#This Row],[UnitPrice]])="",Y15,PROPER(TRIM(sales_dataset[[#This Row],[UnitPrice]])))</f>
        <v>2000</v>
      </c>
      <c r="AB13">
        <v>2000</v>
      </c>
      <c r="AC13" s="1" t="str">
        <f>IF(TRIM(sales_dataset[[#This Row],[TotalRevenue]])="",AB15,PROPER(TRIM(sales_dataset[[#This Row],[TotalRevenue]])))</f>
        <v>2000</v>
      </c>
      <c r="AD13" s="1">
        <f>ABS(sales_dataset[[#This Row],[Column5]])</f>
        <v>2000</v>
      </c>
      <c r="AE13" s="1">
        <f>sales_dataset[[#This Row],[Column17]]*sales_dataset[[#This Row],[Column16]]</f>
        <v>0</v>
      </c>
    </row>
    <row r="14" spans="1:31" x14ac:dyDescent="0.3">
      <c r="C14" s="1" t="s">
        <v>16</v>
      </c>
      <c r="F14" s="1" t="s">
        <v>18</v>
      </c>
      <c r="H14" s="1" t="s">
        <v>73</v>
      </c>
      <c r="J14" s="1" t="s">
        <v>98</v>
      </c>
      <c r="K14" s="1" t="str">
        <f>IF(TRIM(sales_dataset[[#This Row],[Region]])="", J16, PROPER(TRIM(sales_dataset[[#This Row],[Region]])))</f>
        <v>South</v>
      </c>
      <c r="N14" s="1" t="s">
        <v>56</v>
      </c>
      <c r="Q14" s="1" t="s">
        <v>19</v>
      </c>
      <c r="R14" s="1" t="str">
        <f>IF(TRIM(sales_dataset[[#This Row],[ProductCategory]])="", R32, PROPER(TRIM(sales_dataset[[#This Row],[ProductCategory]])))</f>
        <v>Electronics</v>
      </c>
      <c r="T14" s="1" t="s">
        <v>23</v>
      </c>
      <c r="V14">
        <v>-1</v>
      </c>
      <c r="W14" t="str">
        <f>IF(TRIM(sales_dataset[[#This Row],[Quantity]])="",V20,PROPER(TRIM(sales_dataset[[#This Row],[Quantity]])))</f>
        <v>-1</v>
      </c>
      <c r="Z14">
        <f>IF(TRIM(sales_dataset[[#This Row],[UnitPrice]])="",Y16,PROPER(TRIM(sales_dataset[[#This Row],[UnitPrice]])))</f>
        <v>2500</v>
      </c>
      <c r="AC14" s="1">
        <f>IF(TRIM(sales_dataset[[#This Row],[TotalRevenue]])="",AB16,PROPER(TRIM(sales_dataset[[#This Row],[TotalRevenue]])))</f>
        <v>5000</v>
      </c>
      <c r="AD14" s="1">
        <f>ABS(sales_dataset[[#This Row],[Column5]])</f>
        <v>5000</v>
      </c>
      <c r="AE14" s="1">
        <f>sales_dataset[[#This Row],[Column17]]*sales_dataset[[#This Row],[Column16]]</f>
        <v>0</v>
      </c>
    </row>
    <row r="15" spans="1:31" x14ac:dyDescent="0.3">
      <c r="C15" s="1" t="s">
        <v>25</v>
      </c>
      <c r="F15" s="1" t="s">
        <v>53</v>
      </c>
      <c r="H15" s="1" t="s">
        <v>54</v>
      </c>
      <c r="J15" s="1" t="s">
        <v>98</v>
      </c>
      <c r="K15" s="1" t="str">
        <f>IF(TRIM(sales_dataset[[#This Row],[Region]])="", J17, PROPER(TRIM(sales_dataset[[#This Row],[Region]])))</f>
        <v>South</v>
      </c>
      <c r="N15" s="1" t="s">
        <v>19</v>
      </c>
      <c r="Q15" s="1" t="s">
        <v>19</v>
      </c>
      <c r="R15" s="1" t="str">
        <f>IF(TRIM(sales_dataset[[#This Row],[ProductCategory]])="", R33, PROPER(TRIM(sales_dataset[[#This Row],[ProductCategory]])))</f>
        <v>Electronics</v>
      </c>
      <c r="T15" s="1" t="s">
        <v>33</v>
      </c>
      <c r="V15">
        <v>-1</v>
      </c>
      <c r="W15" t="str">
        <f>IF(TRIM(sales_dataset[[#This Row],[Quantity]])="",V21,PROPER(TRIM(sales_dataset[[#This Row],[Quantity]])))</f>
        <v>-1</v>
      </c>
      <c r="Y15">
        <v>2500</v>
      </c>
      <c r="Z15" t="str">
        <f>IF(TRIM(sales_dataset[[#This Row],[UnitPrice]])="",Y17,PROPER(TRIM(sales_dataset[[#This Row],[UnitPrice]])))</f>
        <v>2500</v>
      </c>
      <c r="AB15">
        <v>-2500</v>
      </c>
      <c r="AC15" s="1" t="str">
        <f>IF(TRIM(sales_dataset[[#This Row],[TotalRevenue]])="",AB17,PROPER(TRIM(sales_dataset[[#This Row],[TotalRevenue]])))</f>
        <v>-2500</v>
      </c>
      <c r="AD15" s="1">
        <f>ABS(sales_dataset[[#This Row],[Column5]])</f>
        <v>2500</v>
      </c>
      <c r="AE15" s="1">
        <f>sales_dataset[[#This Row],[Column17]]*sales_dataset[[#This Row],[Column16]]</f>
        <v>0</v>
      </c>
    </row>
    <row r="16" spans="1:31" x14ac:dyDescent="0.3">
      <c r="C16" s="1" t="s">
        <v>35</v>
      </c>
      <c r="F16" s="1" t="s">
        <v>27</v>
      </c>
      <c r="H16" s="1" t="s">
        <v>19</v>
      </c>
      <c r="J16" s="1" t="s">
        <v>80</v>
      </c>
      <c r="K16" s="1" t="str">
        <f>IF(TRIM(sales_dataset[[#This Row],[Region]])="", J18, PROPER(TRIM(sales_dataset[[#This Row],[Region]])))</f>
        <v>East</v>
      </c>
      <c r="N16" s="1" t="s">
        <v>19</v>
      </c>
      <c r="Q16" s="1" t="s">
        <v>41</v>
      </c>
      <c r="R16" s="1" t="str">
        <f>IF(TRIM(sales_dataset[[#This Row],[ProductCategory]])="", R34, PROPER(TRIM(sales_dataset[[#This Row],[ProductCategory]])))</f>
        <v>Home</v>
      </c>
      <c r="T16" s="1" t="s">
        <v>95</v>
      </c>
      <c r="V16">
        <v>2</v>
      </c>
      <c r="W16" t="str">
        <f>IF(TRIM(sales_dataset[[#This Row],[Quantity]])="",V22,PROPER(TRIM(sales_dataset[[#This Row],[Quantity]])))</f>
        <v>2</v>
      </c>
      <c r="Y16">
        <v>2500</v>
      </c>
      <c r="Z16" t="str">
        <f>IF(TRIM(sales_dataset[[#This Row],[UnitPrice]])="",Y18,PROPER(TRIM(sales_dataset[[#This Row],[UnitPrice]])))</f>
        <v>2500</v>
      </c>
      <c r="AB16">
        <v>5000</v>
      </c>
      <c r="AC16" s="1" t="str">
        <f>IF(TRIM(sales_dataset[[#This Row],[TotalRevenue]])="",AB18,PROPER(TRIM(sales_dataset[[#This Row],[TotalRevenue]])))</f>
        <v>5000</v>
      </c>
      <c r="AD16" s="1">
        <f>ABS(sales_dataset[[#This Row],[Column5]])</f>
        <v>5000</v>
      </c>
      <c r="AE16" s="1">
        <f>sales_dataset[[#This Row],[Column17]]*sales_dataset[[#This Row],[Column16]]</f>
        <v>0</v>
      </c>
    </row>
    <row r="17" spans="3:31" x14ac:dyDescent="0.3">
      <c r="C17" s="1" t="s">
        <v>43</v>
      </c>
      <c r="F17" s="1" t="s">
        <v>19</v>
      </c>
      <c r="H17" s="1" t="s">
        <v>19</v>
      </c>
      <c r="J17" s="1" t="s">
        <v>66</v>
      </c>
      <c r="K17" s="1" t="str">
        <f>IF(TRIM(sales_dataset[[#This Row],[Region]])="", J19, PROPER(TRIM(sales_dataset[[#This Row],[Region]])))</f>
        <v>West</v>
      </c>
      <c r="N17" s="1" t="s">
        <v>48</v>
      </c>
      <c r="Q17" s="1" t="s">
        <v>82</v>
      </c>
      <c r="R17" s="1" t="str">
        <f>IF(TRIM(sales_dataset[[#This Row],[ProductCategory]])="", R35, PROPER(TRIM(sales_dataset[[#This Row],[ProductCategory]])))</f>
        <v>Electronics</v>
      </c>
      <c r="T17" s="1" t="s">
        <v>95</v>
      </c>
      <c r="V17">
        <v>2</v>
      </c>
      <c r="W17" t="str">
        <f>IF(TRIM(sales_dataset[[#This Row],[Quantity]])="",V23,PROPER(TRIM(sales_dataset[[#This Row],[Quantity]])))</f>
        <v>2</v>
      </c>
      <c r="Z17">
        <f>IF(TRIM(sales_dataset[[#This Row],[UnitPrice]])="",Y19,PROPER(TRIM(sales_dataset[[#This Row],[UnitPrice]])))</f>
        <v>1500</v>
      </c>
      <c r="AC17" s="1">
        <f>IF(TRIM(sales_dataset[[#This Row],[TotalRevenue]])="",AB19,PROPER(TRIM(sales_dataset[[#This Row],[TotalRevenue]])))</f>
        <v>4500</v>
      </c>
      <c r="AD17" s="1">
        <f>ABS(sales_dataset[[#This Row],[Column5]])</f>
        <v>4500</v>
      </c>
      <c r="AE17" s="1">
        <f>sales_dataset[[#This Row],[Column17]]*sales_dataset[[#This Row],[Column16]]</f>
        <v>0</v>
      </c>
    </row>
    <row r="18" spans="3:31" x14ac:dyDescent="0.3">
      <c r="C18" s="1" t="s">
        <v>51</v>
      </c>
      <c r="F18" s="1" t="s">
        <v>19</v>
      </c>
      <c r="H18" s="1" t="s">
        <v>28</v>
      </c>
      <c r="J18" s="1" t="s">
        <v>98</v>
      </c>
      <c r="K18" s="1" t="str">
        <f>IF(TRIM(sales_dataset[[#This Row],[Region]])="", J20, PROPER(TRIM(sales_dataset[[#This Row],[Region]])))</f>
        <v>South</v>
      </c>
      <c r="N18" s="1" t="s">
        <v>56</v>
      </c>
      <c r="Q18" s="1" t="s">
        <v>41</v>
      </c>
      <c r="R18" s="1" t="str">
        <f>IF(TRIM(sales_dataset[[#This Row],[ProductCategory]])="", R36, PROPER(TRIM(sales_dataset[[#This Row],[ProductCategory]])))</f>
        <v>Home</v>
      </c>
      <c r="T18" s="1" t="s">
        <v>76</v>
      </c>
      <c r="V18">
        <v>2</v>
      </c>
      <c r="W18" t="str">
        <f>IF(TRIM(sales_dataset[[#This Row],[Quantity]])="",V24,PROPER(TRIM(sales_dataset[[#This Row],[Quantity]])))</f>
        <v>2</v>
      </c>
      <c r="Y18">
        <v>-100</v>
      </c>
      <c r="Z18" t="str">
        <f>IF(TRIM(sales_dataset[[#This Row],[UnitPrice]])="",Y20,PROPER(TRIM(sales_dataset[[#This Row],[UnitPrice]])))</f>
        <v>-100</v>
      </c>
      <c r="AB18">
        <v>-200</v>
      </c>
      <c r="AC18" s="1" t="str">
        <f>IF(TRIM(sales_dataset[[#This Row],[TotalRevenue]])="",AB20,PROPER(TRIM(sales_dataset[[#This Row],[TotalRevenue]])))</f>
        <v>-200</v>
      </c>
      <c r="AD18" s="1">
        <f>ABS(sales_dataset[[#This Row],[Column5]])</f>
        <v>200</v>
      </c>
      <c r="AE18" s="1">
        <f>sales_dataset[[#This Row],[Column17]]*sales_dataset[[#This Row],[Column16]]</f>
        <v>0</v>
      </c>
    </row>
    <row r="19" spans="3:31" x14ac:dyDescent="0.3">
      <c r="C19" s="1" t="s">
        <v>19</v>
      </c>
      <c r="F19" s="1" t="s">
        <v>118</v>
      </c>
      <c r="H19" s="1" t="s">
        <v>45</v>
      </c>
      <c r="J19" s="1" t="s">
        <v>98</v>
      </c>
      <c r="K19" s="1" t="str">
        <f>IF(TRIM(sales_dataset[[#This Row],[Region]])="", J21, PROPER(TRIM(sales_dataset[[#This Row],[Region]])))</f>
        <v>South</v>
      </c>
      <c r="N19" s="1" t="s">
        <v>48</v>
      </c>
      <c r="Q19" s="1" t="s">
        <v>63</v>
      </c>
      <c r="R19" s="1" t="str">
        <f>IF(TRIM(sales_dataset[[#This Row],[ProductCategory]])="", R37, PROPER(TRIM(sales_dataset[[#This Row],[ProductCategory]])))</f>
        <v>Clothing</v>
      </c>
      <c r="T19" s="1" t="s">
        <v>87</v>
      </c>
      <c r="V19">
        <v>3</v>
      </c>
      <c r="W19" t="str">
        <f>IF(TRIM(sales_dataset[[#This Row],[Quantity]])="",V25,PROPER(TRIM(sales_dataset[[#This Row],[Quantity]])))</f>
        <v>3</v>
      </c>
      <c r="Y19">
        <v>1500</v>
      </c>
      <c r="Z19" t="str">
        <f>IF(TRIM(sales_dataset[[#This Row],[UnitPrice]])="",Y21,PROPER(TRIM(sales_dataset[[#This Row],[UnitPrice]])))</f>
        <v>1500</v>
      </c>
      <c r="AB19">
        <v>4500</v>
      </c>
      <c r="AC19" s="1" t="str">
        <f>IF(TRIM(sales_dataset[[#This Row],[TotalRevenue]])="",AB21,PROPER(TRIM(sales_dataset[[#This Row],[TotalRevenue]])))</f>
        <v>4500</v>
      </c>
      <c r="AD19" s="1">
        <f>ABS(sales_dataset[[#This Row],[Column5]])</f>
        <v>4500</v>
      </c>
      <c r="AE19" s="1">
        <f>sales_dataset[[#This Row],[Column17]]*sales_dataset[[#This Row],[Column16]]</f>
        <v>0</v>
      </c>
    </row>
    <row r="20" spans="3:31" x14ac:dyDescent="0.3">
      <c r="C20" s="1" t="s">
        <v>16</v>
      </c>
      <c r="F20" s="1" t="s">
        <v>60</v>
      </c>
      <c r="H20" s="1" t="s">
        <v>54</v>
      </c>
      <c r="J20" s="1" t="s">
        <v>98</v>
      </c>
      <c r="K20" s="1" t="str">
        <f>IF(TRIM(sales_dataset[[#This Row],[Region]])="", J22, PROPER(TRIM(sales_dataset[[#This Row],[Region]])))</f>
        <v>South</v>
      </c>
      <c r="N20" s="1" t="s">
        <v>56</v>
      </c>
      <c r="Q20" s="1" t="s">
        <v>19</v>
      </c>
      <c r="R20" s="1" t="str">
        <f>IF(TRIM(sales_dataset[[#This Row],[ProductCategory]])="", R38, PROPER(TRIM(sales_dataset[[#This Row],[ProductCategory]])))</f>
        <v>Home</v>
      </c>
      <c r="T20" s="1" t="s">
        <v>23</v>
      </c>
      <c r="V20">
        <v>4</v>
      </c>
      <c r="W20" t="str">
        <f>IF(TRIM(sales_dataset[[#This Row],[Quantity]])="",V26,PROPER(TRIM(sales_dataset[[#This Row],[Quantity]])))</f>
        <v>4</v>
      </c>
      <c r="Y20">
        <v>2000</v>
      </c>
      <c r="Z20" t="str">
        <f>IF(TRIM(sales_dataset[[#This Row],[UnitPrice]])="",Y22,PROPER(TRIM(sales_dataset[[#This Row],[UnitPrice]])))</f>
        <v>2000</v>
      </c>
      <c r="AB20">
        <v>8000</v>
      </c>
      <c r="AC20" s="1" t="str">
        <f>IF(TRIM(sales_dataset[[#This Row],[TotalRevenue]])="",AB22,PROPER(TRIM(sales_dataset[[#This Row],[TotalRevenue]])))</f>
        <v>8000</v>
      </c>
      <c r="AD20" s="1">
        <f>ABS(sales_dataset[[#This Row],[Column5]])</f>
        <v>8000</v>
      </c>
      <c r="AE20" s="1">
        <f>sales_dataset[[#This Row],[Column17]]*sales_dataset[[#This Row],[Column16]]</f>
        <v>0</v>
      </c>
    </row>
    <row r="21" spans="3:31" x14ac:dyDescent="0.3">
      <c r="C21" s="1" t="s">
        <v>25</v>
      </c>
      <c r="F21" s="1" t="s">
        <v>27</v>
      </c>
      <c r="H21" s="1" t="s">
        <v>73</v>
      </c>
      <c r="J21" s="1" t="s">
        <v>98</v>
      </c>
      <c r="K21" s="1" t="str">
        <f>IF(TRIM(sales_dataset[[#This Row],[Region]])="", J23, PROPER(TRIM(sales_dataset[[#This Row],[Region]])))</f>
        <v>South</v>
      </c>
      <c r="N21" s="1" t="s">
        <v>39</v>
      </c>
      <c r="Q21" s="1" t="s">
        <v>19</v>
      </c>
      <c r="R21" s="1" t="str">
        <f>IF(TRIM(sales_dataset[[#This Row],[ProductCategory]])="", R39, PROPER(TRIM(sales_dataset[[#This Row],[ProductCategory]])))</f>
        <v>Clothing</v>
      </c>
      <c r="T21" s="1" t="s">
        <v>76</v>
      </c>
      <c r="V21">
        <v>5</v>
      </c>
      <c r="W21" t="str">
        <f>IF(TRIM(sales_dataset[[#This Row],[Quantity]])="",V27,PROPER(TRIM(sales_dataset[[#This Row],[Quantity]])))</f>
        <v>5</v>
      </c>
      <c r="Y21">
        <v>2500</v>
      </c>
      <c r="Z21" t="str">
        <f>IF(TRIM(sales_dataset[[#This Row],[UnitPrice]])="",Y23,PROPER(TRIM(sales_dataset[[#This Row],[UnitPrice]])))</f>
        <v>2500</v>
      </c>
      <c r="AB21">
        <v>12500</v>
      </c>
      <c r="AC21" s="1" t="str">
        <f>IF(TRIM(sales_dataset[[#This Row],[TotalRevenue]])="",AB23,PROPER(TRIM(sales_dataset[[#This Row],[TotalRevenue]])))</f>
        <v>12500</v>
      </c>
      <c r="AD21" s="1">
        <f>ABS(sales_dataset[[#This Row],[Column5]])</f>
        <v>12500</v>
      </c>
      <c r="AE21" s="1">
        <f>sales_dataset[[#This Row],[Column17]]*sales_dataset[[#This Row],[Column16]]</f>
        <v>0</v>
      </c>
    </row>
    <row r="22" spans="3:31" x14ac:dyDescent="0.3">
      <c r="C22" s="1" t="s">
        <v>35</v>
      </c>
      <c r="F22" s="1" t="s">
        <v>60</v>
      </c>
      <c r="H22" s="1" t="s">
        <v>28</v>
      </c>
      <c r="J22" s="1" t="s">
        <v>46</v>
      </c>
      <c r="K22" s="1" t="str">
        <f>IF(TRIM(sales_dataset[[#This Row],[Region]])="", J24, PROPER(TRIM(sales_dataset[[#This Row],[Region]])))</f>
        <v>North</v>
      </c>
      <c r="N22" s="1" t="s">
        <v>39</v>
      </c>
      <c r="Q22" s="1" t="s">
        <v>19</v>
      </c>
      <c r="R22" s="1" t="str">
        <f>IF(TRIM(sales_dataset[[#This Row],[ProductCategory]])="", R40, PROPER(TRIM(sales_dataset[[#This Row],[ProductCategory]])))</f>
        <v>Electronics</v>
      </c>
      <c r="T22" s="1" t="s">
        <v>87</v>
      </c>
      <c r="V22">
        <v>4</v>
      </c>
      <c r="W22" t="str">
        <f>IF(TRIM(sales_dataset[[#This Row],[Quantity]])="",V28,PROPER(TRIM(sales_dataset[[#This Row],[Quantity]])))</f>
        <v>4</v>
      </c>
      <c r="Y22">
        <v>2000</v>
      </c>
      <c r="Z22" t="str">
        <f>IF(TRIM(sales_dataset[[#This Row],[UnitPrice]])="",Y24,PROPER(TRIM(sales_dataset[[#This Row],[UnitPrice]])))</f>
        <v>2000</v>
      </c>
      <c r="AB22">
        <v>8000</v>
      </c>
      <c r="AC22" s="1" t="str">
        <f>IF(TRIM(sales_dataset[[#This Row],[TotalRevenue]])="",AB24,PROPER(TRIM(sales_dataset[[#This Row],[TotalRevenue]])))</f>
        <v>8000</v>
      </c>
      <c r="AD22" s="1">
        <f>ABS(sales_dataset[[#This Row],[Column5]])</f>
        <v>8000</v>
      </c>
      <c r="AE22" s="1">
        <f>sales_dataset[[#This Row],[Column17]]*sales_dataset[[#This Row],[Column16]]</f>
        <v>0</v>
      </c>
    </row>
    <row r="23" spans="3:31" x14ac:dyDescent="0.3">
      <c r="C23" s="1" t="s">
        <v>43</v>
      </c>
      <c r="F23" s="1" t="s">
        <v>18</v>
      </c>
      <c r="H23" s="1" t="s">
        <v>54</v>
      </c>
      <c r="J23" s="1" t="s">
        <v>80</v>
      </c>
      <c r="K23" s="1" t="str">
        <f>IF(TRIM(sales_dataset[[#This Row],[Region]])="", J25, PROPER(TRIM(sales_dataset[[#This Row],[Region]])))</f>
        <v>East</v>
      </c>
      <c r="N23" s="1" t="s">
        <v>56</v>
      </c>
      <c r="Q23" s="1" t="s">
        <v>63</v>
      </c>
      <c r="R23" s="1" t="str">
        <f>IF(TRIM(sales_dataset[[#This Row],[ProductCategory]])="", R41, PROPER(TRIM(sales_dataset[[#This Row],[ProductCategory]])))</f>
        <v>Clothing</v>
      </c>
      <c r="T23" s="1" t="s">
        <v>69</v>
      </c>
      <c r="V23">
        <v>2</v>
      </c>
      <c r="W23" t="str">
        <f>IF(TRIM(sales_dataset[[#This Row],[Quantity]])="",V29,PROPER(TRIM(sales_dataset[[#This Row],[Quantity]])))</f>
        <v>2</v>
      </c>
      <c r="Y23">
        <v>2000</v>
      </c>
      <c r="Z23" t="str">
        <f>IF(TRIM(sales_dataset[[#This Row],[UnitPrice]])="",Y25,PROPER(TRIM(sales_dataset[[#This Row],[UnitPrice]])))</f>
        <v>2000</v>
      </c>
      <c r="AB23">
        <v>4000</v>
      </c>
      <c r="AC23" s="1" t="str">
        <f>IF(TRIM(sales_dataset[[#This Row],[TotalRevenue]])="",AB25,PROPER(TRIM(sales_dataset[[#This Row],[TotalRevenue]])))</f>
        <v>4000</v>
      </c>
      <c r="AD23" s="1">
        <f>ABS(sales_dataset[[#This Row],[Column5]])</f>
        <v>4000</v>
      </c>
      <c r="AE23" s="1">
        <f>sales_dataset[[#This Row],[Column17]]*sales_dataset[[#This Row],[Column16]]</f>
        <v>0</v>
      </c>
    </row>
    <row r="24" spans="3:31" x14ac:dyDescent="0.3">
      <c r="C24" s="1" t="s">
        <v>51</v>
      </c>
      <c r="F24" s="1" t="s">
        <v>18</v>
      </c>
      <c r="H24" s="1" t="s">
        <v>73</v>
      </c>
      <c r="J24" s="1" t="s">
        <v>46</v>
      </c>
      <c r="K24" s="1" t="str">
        <f>IF(TRIM(sales_dataset[[#This Row],[Region]])="", J26, PROPER(TRIM(sales_dataset[[#This Row],[Region]])))</f>
        <v>North</v>
      </c>
      <c r="N24" s="1" t="s">
        <v>21</v>
      </c>
      <c r="Q24" s="1" t="s">
        <v>32</v>
      </c>
      <c r="R24" s="1" t="str">
        <f>IF(TRIM(sales_dataset[[#This Row],[ProductCategory]])="", R42, PROPER(TRIM(sales_dataset[[#This Row],[ProductCategory]])))</f>
        <v>Electronics</v>
      </c>
      <c r="T24" s="1" t="s">
        <v>95</v>
      </c>
      <c r="V24">
        <v>3</v>
      </c>
      <c r="W24" t="str">
        <f>IF(TRIM(sales_dataset[[#This Row],[Quantity]])="",V30,PROPER(TRIM(sales_dataset[[#This Row],[Quantity]])))</f>
        <v>3</v>
      </c>
      <c r="Y24">
        <v>2500</v>
      </c>
      <c r="Z24" t="str">
        <f>IF(TRIM(sales_dataset[[#This Row],[UnitPrice]])="",Y26,PROPER(TRIM(sales_dataset[[#This Row],[UnitPrice]])))</f>
        <v>2500</v>
      </c>
      <c r="AB24">
        <v>7500</v>
      </c>
      <c r="AC24" s="1" t="str">
        <f>IF(TRIM(sales_dataset[[#This Row],[TotalRevenue]])="",AB26,PROPER(TRIM(sales_dataset[[#This Row],[TotalRevenue]])))</f>
        <v>7500</v>
      </c>
      <c r="AD24" s="1">
        <f>ABS(sales_dataset[[#This Row],[Column5]])</f>
        <v>7500</v>
      </c>
      <c r="AE24" s="1">
        <f>sales_dataset[[#This Row],[Column17]]*sales_dataset[[#This Row],[Column16]]</f>
        <v>0</v>
      </c>
    </row>
    <row r="25" spans="3:31" x14ac:dyDescent="0.3">
      <c r="C25" s="1" t="s">
        <v>19</v>
      </c>
      <c r="F25" s="1" t="s">
        <v>18</v>
      </c>
      <c r="H25" s="1" t="s">
        <v>28</v>
      </c>
      <c r="J25" s="1" t="s">
        <v>37</v>
      </c>
      <c r="K25" s="1" t="str">
        <f>IF(TRIM(sales_dataset[[#This Row],[Region]])="", J27, PROPER(TRIM(sales_dataset[[#This Row],[Region]])))</f>
        <v>North</v>
      </c>
      <c r="N25" s="1" t="s">
        <v>39</v>
      </c>
      <c r="Q25" s="1" t="s">
        <v>41</v>
      </c>
      <c r="R25" s="1" t="str">
        <f>IF(TRIM(sales_dataset[[#This Row],[ProductCategory]])="", R43, PROPER(TRIM(sales_dataset[[#This Row],[ProductCategory]])))</f>
        <v>Home</v>
      </c>
      <c r="T25" s="1" t="s">
        <v>76</v>
      </c>
      <c r="V25">
        <v>-1</v>
      </c>
      <c r="W25" t="str">
        <f>IF(TRIM(sales_dataset[[#This Row],[Quantity]])="",V31,PROPER(TRIM(sales_dataset[[#This Row],[Quantity]])))</f>
        <v>-1</v>
      </c>
      <c r="Y25">
        <v>1500</v>
      </c>
      <c r="Z25" t="str">
        <f>IF(TRIM(sales_dataset[[#This Row],[UnitPrice]])="",Y27,PROPER(TRIM(sales_dataset[[#This Row],[UnitPrice]])))</f>
        <v>1500</v>
      </c>
      <c r="AB25">
        <v>-1500</v>
      </c>
      <c r="AC25" s="1" t="str">
        <f>IF(TRIM(sales_dataset[[#This Row],[TotalRevenue]])="",AB27,PROPER(TRIM(sales_dataset[[#This Row],[TotalRevenue]])))</f>
        <v>-1500</v>
      </c>
      <c r="AD25" s="1">
        <f>ABS(sales_dataset[[#This Row],[Column5]])</f>
        <v>1500</v>
      </c>
      <c r="AE25" s="1">
        <f>sales_dataset[[#This Row],[Column17]]*sales_dataset[[#This Row],[Column16]]</f>
        <v>0</v>
      </c>
    </row>
    <row r="26" spans="3:31" x14ac:dyDescent="0.3">
      <c r="C26" s="1" t="s">
        <v>16</v>
      </c>
      <c r="F26" s="1" t="s">
        <v>60</v>
      </c>
      <c r="H26" s="1" t="s">
        <v>79</v>
      </c>
      <c r="J26" s="1" t="s">
        <v>37</v>
      </c>
      <c r="K26" s="1" t="str">
        <f>IF(TRIM(sales_dataset[[#This Row],[Region]])="", J28, PROPER(TRIM(sales_dataset[[#This Row],[Region]])))</f>
        <v>North</v>
      </c>
      <c r="N26" s="1" t="s">
        <v>21</v>
      </c>
      <c r="Q26" s="1" t="s">
        <v>82</v>
      </c>
      <c r="R26" s="1" t="str">
        <f>IF(TRIM(sales_dataset[[#This Row],[ProductCategory]])="", R44, PROPER(TRIM(sales_dataset[[#This Row],[ProductCategory]])))</f>
        <v>Electronics</v>
      </c>
      <c r="T26" s="1" t="s">
        <v>69</v>
      </c>
      <c r="W26">
        <f>IF(TRIM(sales_dataset[[#This Row],[Quantity]])="",V32,PROPER(TRIM(sales_dataset[[#This Row],[Quantity]])))</f>
        <v>0</v>
      </c>
      <c r="Y26">
        <v>1500</v>
      </c>
      <c r="Z26" t="str">
        <f>IF(TRIM(sales_dataset[[#This Row],[UnitPrice]])="",Y28,PROPER(TRIM(sales_dataset[[#This Row],[UnitPrice]])))</f>
        <v>1500</v>
      </c>
      <c r="AC26" s="1">
        <f>IF(TRIM(sales_dataset[[#This Row],[TotalRevenue]])="",AB28,PROPER(TRIM(sales_dataset[[#This Row],[TotalRevenue]])))</f>
        <v>0</v>
      </c>
      <c r="AD26" s="1">
        <f>ABS(sales_dataset[[#This Row],[Column5]])</f>
        <v>0</v>
      </c>
      <c r="AE26" s="1">
        <f>sales_dataset[[#This Row],[Column17]]*sales_dataset[[#This Row],[Column16]]</f>
        <v>0</v>
      </c>
    </row>
    <row r="27" spans="3:31" x14ac:dyDescent="0.3">
      <c r="C27" s="1" t="s">
        <v>25</v>
      </c>
      <c r="F27" s="1" t="s">
        <v>19</v>
      </c>
      <c r="H27" s="1" t="s">
        <v>147</v>
      </c>
      <c r="J27" s="1" t="s">
        <v>19</v>
      </c>
      <c r="K27" s="1" t="str">
        <f>IF(TRIM(sales_dataset[[#This Row],[Region]])="", J29, PROPER(TRIM(sales_dataset[[#This Row],[Region]])))</f>
        <v>North</v>
      </c>
      <c r="N27" s="1" t="s">
        <v>39</v>
      </c>
      <c r="Q27" s="1" t="s">
        <v>63</v>
      </c>
      <c r="R27" s="1" t="str">
        <f>IF(TRIM(sales_dataset[[#This Row],[ProductCategory]])="", R45, PROPER(TRIM(sales_dataset[[#This Row],[ProductCategory]])))</f>
        <v>Clothing</v>
      </c>
      <c r="T27" s="1" t="s">
        <v>23</v>
      </c>
      <c r="V27">
        <v>2</v>
      </c>
      <c r="W27" t="str">
        <f>IF(TRIM(sales_dataset[[#This Row],[Quantity]])="",V33,PROPER(TRIM(sales_dataset[[#This Row],[Quantity]])))</f>
        <v>2</v>
      </c>
      <c r="Y27">
        <v>2500</v>
      </c>
      <c r="Z27" t="str">
        <f>IF(TRIM(sales_dataset[[#This Row],[UnitPrice]])="",Y29,PROPER(TRIM(sales_dataset[[#This Row],[UnitPrice]])))</f>
        <v>2500</v>
      </c>
      <c r="AB27">
        <v>5000</v>
      </c>
      <c r="AC27" s="1" t="str">
        <f>IF(TRIM(sales_dataset[[#This Row],[TotalRevenue]])="",AB29,PROPER(TRIM(sales_dataset[[#This Row],[TotalRevenue]])))</f>
        <v>5000</v>
      </c>
      <c r="AD27" s="1">
        <f>ABS(sales_dataset[[#This Row],[Column5]])</f>
        <v>5000</v>
      </c>
      <c r="AE27" s="1">
        <f>sales_dataset[[#This Row],[Column17]]*sales_dataset[[#This Row],[Column16]]</f>
        <v>0</v>
      </c>
    </row>
    <row r="28" spans="3:31" x14ac:dyDescent="0.3">
      <c r="C28" s="1" t="s">
        <v>35</v>
      </c>
      <c r="F28" s="1" t="s">
        <v>27</v>
      </c>
      <c r="H28" s="1" t="s">
        <v>45</v>
      </c>
      <c r="J28" s="1" t="s">
        <v>37</v>
      </c>
      <c r="K28" s="1" t="str">
        <f>IF(TRIM(sales_dataset[[#This Row],[Region]])="", J30, PROPER(TRIM(sales_dataset[[#This Row],[Region]])))</f>
        <v>North</v>
      </c>
      <c r="N28" s="1" t="s">
        <v>19</v>
      </c>
      <c r="Q28" s="1" t="s">
        <v>32</v>
      </c>
      <c r="R28" s="1" t="str">
        <f>IF(TRIM(sales_dataset[[#This Row],[ProductCategory]])="", R46, PROPER(TRIM(sales_dataset[[#This Row],[ProductCategory]])))</f>
        <v>Electronics</v>
      </c>
      <c r="T28" s="1" t="s">
        <v>23</v>
      </c>
      <c r="V28">
        <v>-1</v>
      </c>
      <c r="W28" t="str">
        <f>IF(TRIM(sales_dataset[[#This Row],[Quantity]])="",V34,PROPER(TRIM(sales_dataset[[#This Row],[Quantity]])))</f>
        <v>-1</v>
      </c>
      <c r="Z28">
        <f>IF(TRIM(sales_dataset[[#This Row],[UnitPrice]])="",Y30,PROPER(TRIM(sales_dataset[[#This Row],[UnitPrice]])))</f>
        <v>-100</v>
      </c>
      <c r="AC28" s="1">
        <f>IF(TRIM(sales_dataset[[#This Row],[TotalRevenue]])="",AB30,PROPER(TRIM(sales_dataset[[#This Row],[TotalRevenue]])))</f>
        <v>-400</v>
      </c>
      <c r="AD28" s="1">
        <f>ABS(sales_dataset[[#This Row],[Column5]])</f>
        <v>400</v>
      </c>
      <c r="AE28" s="1">
        <f>sales_dataset[[#This Row],[Column17]]*sales_dataset[[#This Row],[Column16]]</f>
        <v>0</v>
      </c>
    </row>
    <row r="29" spans="3:31" x14ac:dyDescent="0.3">
      <c r="C29" s="1" t="s">
        <v>43</v>
      </c>
      <c r="F29" s="1" t="s">
        <v>19</v>
      </c>
      <c r="H29" s="1" t="s">
        <v>73</v>
      </c>
      <c r="J29" s="1" t="s">
        <v>46</v>
      </c>
      <c r="K29" s="1" t="str">
        <f>IF(TRIM(sales_dataset[[#This Row],[Region]])="", J31, PROPER(TRIM(sales_dataset[[#This Row],[Region]])))</f>
        <v>North</v>
      </c>
      <c r="N29" s="1" t="s">
        <v>30</v>
      </c>
      <c r="Q29" s="1" t="s">
        <v>32</v>
      </c>
      <c r="R29" s="1" t="str">
        <f>IF(TRIM(sales_dataset[[#This Row],[ProductCategory]])="", R47, PROPER(TRIM(sales_dataset[[#This Row],[ProductCategory]])))</f>
        <v>Electronics</v>
      </c>
      <c r="T29" s="1" t="s">
        <v>33</v>
      </c>
      <c r="V29">
        <v>1</v>
      </c>
      <c r="W29" t="str">
        <f>IF(TRIM(sales_dataset[[#This Row],[Quantity]])="",V35,PROPER(TRIM(sales_dataset[[#This Row],[Quantity]])))</f>
        <v>1</v>
      </c>
      <c r="Y29">
        <v>-100</v>
      </c>
      <c r="Z29" t="str">
        <f>IF(TRIM(sales_dataset[[#This Row],[UnitPrice]])="",Y31,PROPER(TRIM(sales_dataset[[#This Row],[UnitPrice]])))</f>
        <v>-100</v>
      </c>
      <c r="AB29">
        <v>-100</v>
      </c>
      <c r="AC29" s="1" t="str">
        <f>IF(TRIM(sales_dataset[[#This Row],[TotalRevenue]])="",AB31,PROPER(TRIM(sales_dataset[[#This Row],[TotalRevenue]])))</f>
        <v>-100</v>
      </c>
      <c r="AD29" s="1">
        <f>ABS(sales_dataset[[#This Row],[Column5]])</f>
        <v>100</v>
      </c>
      <c r="AE29" s="1">
        <f>sales_dataset[[#This Row],[Column17]]*sales_dataset[[#This Row],[Column16]]</f>
        <v>0</v>
      </c>
    </row>
    <row r="30" spans="3:31" x14ac:dyDescent="0.3">
      <c r="C30" s="1" t="s">
        <v>51</v>
      </c>
      <c r="F30" s="1" t="s">
        <v>118</v>
      </c>
      <c r="H30" s="1" t="s">
        <v>79</v>
      </c>
      <c r="J30" s="1" t="s">
        <v>19</v>
      </c>
      <c r="K30" s="1" t="str">
        <f>IF(TRIM(sales_dataset[[#This Row],[Region]])="", J32, PROPER(TRIM(sales_dataset[[#This Row],[Region]])))</f>
        <v>NORTH</v>
      </c>
      <c r="N30" s="1" t="s">
        <v>30</v>
      </c>
      <c r="Q30" s="1" t="s">
        <v>82</v>
      </c>
      <c r="R30" s="1" t="str">
        <f>IF(TRIM(sales_dataset[[#This Row],[ProductCategory]])="", R48, PROPER(TRIM(sales_dataset[[#This Row],[ProductCategory]])))</f>
        <v>Electronics</v>
      </c>
      <c r="T30" s="1" t="s">
        <v>69</v>
      </c>
      <c r="V30">
        <v>4</v>
      </c>
      <c r="W30" t="str">
        <f>IF(TRIM(sales_dataset[[#This Row],[Quantity]])="",V36,PROPER(TRIM(sales_dataset[[#This Row],[Quantity]])))</f>
        <v>4</v>
      </c>
      <c r="Y30">
        <v>-100</v>
      </c>
      <c r="Z30" t="str">
        <f>IF(TRIM(sales_dataset[[#This Row],[UnitPrice]])="",Y32,PROPER(TRIM(sales_dataset[[#This Row],[UnitPrice]])))</f>
        <v>-100</v>
      </c>
      <c r="AB30">
        <v>-400</v>
      </c>
      <c r="AC30" s="1" t="str">
        <f>IF(TRIM(sales_dataset[[#This Row],[TotalRevenue]])="",AB32,PROPER(TRIM(sales_dataset[[#This Row],[TotalRevenue]])))</f>
        <v>-400</v>
      </c>
      <c r="AD30" s="1">
        <f>ABS(sales_dataset[[#This Row],[Column5]])</f>
        <v>400</v>
      </c>
      <c r="AE30" s="1">
        <f>sales_dataset[[#This Row],[Column17]]*sales_dataset[[#This Row],[Column16]]</f>
        <v>0</v>
      </c>
    </row>
    <row r="31" spans="3:31" x14ac:dyDescent="0.3">
      <c r="C31" s="1" t="s">
        <v>19</v>
      </c>
      <c r="F31" s="1" t="s">
        <v>19</v>
      </c>
      <c r="H31" s="1" t="s">
        <v>73</v>
      </c>
      <c r="J31" s="1" t="s">
        <v>80</v>
      </c>
      <c r="K31" s="1" t="str">
        <f>IF(TRIM(sales_dataset[[#This Row],[Region]])="", J33, PROPER(TRIM(sales_dataset[[#This Row],[Region]])))</f>
        <v>East</v>
      </c>
      <c r="N31" s="1" t="s">
        <v>19</v>
      </c>
      <c r="Q31" s="1" t="s">
        <v>63</v>
      </c>
      <c r="R31" s="1" t="str">
        <f>IF(TRIM(sales_dataset[[#This Row],[ProductCategory]])="", R49, PROPER(TRIM(sales_dataset[[#This Row],[ProductCategory]])))</f>
        <v>Clothing</v>
      </c>
      <c r="T31" s="1" t="s">
        <v>69</v>
      </c>
      <c r="V31">
        <v>3</v>
      </c>
      <c r="W31" t="str">
        <f>IF(TRIM(sales_dataset[[#This Row],[Quantity]])="",V37,PROPER(TRIM(sales_dataset[[#This Row],[Quantity]])))</f>
        <v>3</v>
      </c>
      <c r="Z31">
        <f>IF(TRIM(sales_dataset[[#This Row],[UnitPrice]])="",Y33,PROPER(TRIM(sales_dataset[[#This Row],[UnitPrice]])))</f>
        <v>-100</v>
      </c>
      <c r="AC31" s="1">
        <f>IF(TRIM(sales_dataset[[#This Row],[TotalRevenue]])="",AB33,PROPER(TRIM(sales_dataset[[#This Row],[TotalRevenue]])))</f>
        <v>-200</v>
      </c>
      <c r="AD31" s="1">
        <f>ABS(sales_dataset[[#This Row],[Column5]])</f>
        <v>200</v>
      </c>
      <c r="AE31" s="1">
        <f>sales_dataset[[#This Row],[Column17]]*sales_dataset[[#This Row],[Column16]]</f>
        <v>0</v>
      </c>
    </row>
    <row r="32" spans="3:31" x14ac:dyDescent="0.3">
      <c r="C32" s="1" t="s">
        <v>16</v>
      </c>
      <c r="F32" s="1" t="s">
        <v>60</v>
      </c>
      <c r="H32" s="1" t="s">
        <v>147</v>
      </c>
      <c r="J32" s="1" t="s">
        <v>37</v>
      </c>
      <c r="K32" s="1" t="str">
        <f>IF(TRIM(sales_dataset[[#This Row],[Region]])="", J34, PROPER(TRIM(sales_dataset[[#This Row],[Region]])))</f>
        <v>North</v>
      </c>
      <c r="N32" s="1" t="s">
        <v>56</v>
      </c>
      <c r="Q32" s="1" t="s">
        <v>32</v>
      </c>
      <c r="R32" s="1" t="str">
        <f>IF(TRIM(sales_dataset[[#This Row],[ProductCategory]])="", R50, PROPER(TRIM(sales_dataset[[#This Row],[ProductCategory]])))</f>
        <v>Electronics</v>
      </c>
      <c r="T32" s="1" t="s">
        <v>76</v>
      </c>
      <c r="W32">
        <f>IF(TRIM(sales_dataset[[#This Row],[Quantity]])="",V38,PROPER(TRIM(sales_dataset[[#This Row],[Quantity]])))</f>
        <v>4</v>
      </c>
      <c r="Y32">
        <v>2000</v>
      </c>
      <c r="Z32" t="str">
        <f>IF(TRIM(sales_dataset[[#This Row],[UnitPrice]])="",Y34,PROPER(TRIM(sales_dataset[[#This Row],[UnitPrice]])))</f>
        <v>2000</v>
      </c>
      <c r="AC32" s="1">
        <f>IF(TRIM(sales_dataset[[#This Row],[TotalRevenue]])="",AB34,PROPER(TRIM(sales_dataset[[#This Row],[TotalRevenue]])))</f>
        <v>0</v>
      </c>
      <c r="AD32" s="1">
        <f>ABS(sales_dataset[[#This Row],[Column5]])</f>
        <v>0</v>
      </c>
      <c r="AE32" s="1">
        <f>sales_dataset[[#This Row],[Column17]]*sales_dataset[[#This Row],[Column16]]</f>
        <v>0</v>
      </c>
    </row>
    <row r="33" spans="3:31" x14ac:dyDescent="0.3">
      <c r="C33" s="1" t="s">
        <v>25</v>
      </c>
      <c r="F33" s="1" t="s">
        <v>53</v>
      </c>
      <c r="H33" s="1" t="s">
        <v>147</v>
      </c>
      <c r="J33" s="1" t="s">
        <v>98</v>
      </c>
      <c r="K33" s="1" t="str">
        <f>IF(TRIM(sales_dataset[[#This Row],[Region]])="", J35, PROPER(TRIM(sales_dataset[[#This Row],[Region]])))</f>
        <v>South</v>
      </c>
      <c r="N33" s="1" t="s">
        <v>48</v>
      </c>
      <c r="Q33" s="1" t="s">
        <v>19</v>
      </c>
      <c r="R33" s="1" t="str">
        <f>IF(TRIM(sales_dataset[[#This Row],[ProductCategory]])="", R51, PROPER(TRIM(sales_dataset[[#This Row],[ProductCategory]])))</f>
        <v>Electronics</v>
      </c>
      <c r="T33" s="1" t="s">
        <v>87</v>
      </c>
      <c r="V33">
        <v>2</v>
      </c>
      <c r="W33" t="str">
        <f>IF(TRIM(sales_dataset[[#This Row],[Quantity]])="",V39,PROPER(TRIM(sales_dataset[[#This Row],[Quantity]])))</f>
        <v>2</v>
      </c>
      <c r="Y33">
        <v>-100</v>
      </c>
      <c r="Z33" t="str">
        <f>IF(TRIM(sales_dataset[[#This Row],[UnitPrice]])="",Y35,PROPER(TRIM(sales_dataset[[#This Row],[UnitPrice]])))</f>
        <v>-100</v>
      </c>
      <c r="AB33">
        <v>-200</v>
      </c>
      <c r="AC33" s="1" t="str">
        <f>IF(TRIM(sales_dataset[[#This Row],[TotalRevenue]])="",AB35,PROPER(TRIM(sales_dataset[[#This Row],[TotalRevenue]])))</f>
        <v>-200</v>
      </c>
      <c r="AD33" s="1">
        <f>ABS(sales_dataset[[#This Row],[Column5]])</f>
        <v>200</v>
      </c>
      <c r="AE33" s="1">
        <f>sales_dataset[[#This Row],[Column17]]*sales_dataset[[#This Row],[Column16]]</f>
        <v>0</v>
      </c>
    </row>
    <row r="34" spans="3:31" x14ac:dyDescent="0.3">
      <c r="C34" s="1" t="s">
        <v>35</v>
      </c>
      <c r="F34" s="1" t="s">
        <v>19</v>
      </c>
      <c r="H34" s="1" t="s">
        <v>19</v>
      </c>
      <c r="J34" s="1" t="s">
        <v>37</v>
      </c>
      <c r="K34" s="1" t="str">
        <f>IF(TRIM(sales_dataset[[#This Row],[Region]])="", J36, PROPER(TRIM(sales_dataset[[#This Row],[Region]])))</f>
        <v>North</v>
      </c>
      <c r="N34" s="1" t="s">
        <v>30</v>
      </c>
      <c r="Q34" s="1" t="s">
        <v>82</v>
      </c>
      <c r="R34" s="1" t="str">
        <f>IF(TRIM(sales_dataset[[#This Row],[ProductCategory]])="", R52, PROPER(TRIM(sales_dataset[[#This Row],[ProductCategory]])))</f>
        <v>Electronics</v>
      </c>
      <c r="T34" s="1" t="s">
        <v>95</v>
      </c>
      <c r="V34">
        <v>3</v>
      </c>
      <c r="W34" t="str">
        <f>IF(TRIM(sales_dataset[[#This Row],[Quantity]])="",V40,PROPER(TRIM(sales_dataset[[#This Row],[Quantity]])))</f>
        <v>3</v>
      </c>
      <c r="Z34">
        <f>IF(TRIM(sales_dataset[[#This Row],[UnitPrice]])="",Y36,PROPER(TRIM(sales_dataset[[#This Row],[UnitPrice]])))</f>
        <v>-100</v>
      </c>
      <c r="AC34" s="1">
        <f>IF(TRIM(sales_dataset[[#This Row],[TotalRevenue]])="",AB36,PROPER(TRIM(sales_dataset[[#This Row],[TotalRevenue]])))</f>
        <v>-100</v>
      </c>
      <c r="AD34" s="1">
        <f>ABS(sales_dataset[[#This Row],[Column5]])</f>
        <v>100</v>
      </c>
      <c r="AE34" s="1">
        <f>sales_dataset[[#This Row],[Column17]]*sales_dataset[[#This Row],[Column16]]</f>
        <v>0</v>
      </c>
    </row>
    <row r="35" spans="3:31" x14ac:dyDescent="0.3">
      <c r="C35" s="1" t="s">
        <v>43</v>
      </c>
      <c r="F35" s="1" t="s">
        <v>118</v>
      </c>
      <c r="H35" s="1" t="s">
        <v>54</v>
      </c>
      <c r="J35" s="1" t="s">
        <v>66</v>
      </c>
      <c r="K35" s="1" t="str">
        <f>IF(TRIM(sales_dataset[[#This Row],[Region]])="", J37, PROPER(TRIM(sales_dataset[[#This Row],[Region]])))</f>
        <v>West</v>
      </c>
      <c r="N35" s="1" t="s">
        <v>39</v>
      </c>
      <c r="Q35" s="1" t="s">
        <v>19</v>
      </c>
      <c r="R35" s="1" t="str">
        <f>IF(TRIM(sales_dataset[[#This Row],[ProductCategory]])="", R53, PROPER(TRIM(sales_dataset[[#This Row],[ProductCategory]])))</f>
        <v>Clothing</v>
      </c>
      <c r="T35" s="1" t="s">
        <v>87</v>
      </c>
      <c r="W35">
        <f>IF(TRIM(sales_dataset[[#This Row],[Quantity]])="",V41,PROPER(TRIM(sales_dataset[[#This Row],[Quantity]])))</f>
        <v>-1</v>
      </c>
      <c r="Y35">
        <v>2000</v>
      </c>
      <c r="Z35" t="str">
        <f>IF(TRIM(sales_dataset[[#This Row],[UnitPrice]])="",Y37,PROPER(TRIM(sales_dataset[[#This Row],[UnitPrice]])))</f>
        <v>2000</v>
      </c>
      <c r="AC35" s="1">
        <f>IF(TRIM(sales_dataset[[#This Row],[TotalRevenue]])="",AB37,PROPER(TRIM(sales_dataset[[#This Row],[TotalRevenue]])))</f>
        <v>-100</v>
      </c>
      <c r="AD35" s="1">
        <f>ABS(sales_dataset[[#This Row],[Column5]])</f>
        <v>100</v>
      </c>
      <c r="AE35" s="1">
        <f>sales_dataset[[#This Row],[Column17]]*sales_dataset[[#This Row],[Column16]]</f>
        <v>0</v>
      </c>
    </row>
    <row r="36" spans="3:31" x14ac:dyDescent="0.3">
      <c r="C36" s="1" t="s">
        <v>51</v>
      </c>
      <c r="F36" s="1" t="s">
        <v>27</v>
      </c>
      <c r="H36" s="1" t="s">
        <v>45</v>
      </c>
      <c r="J36" s="1" t="s">
        <v>98</v>
      </c>
      <c r="K36" s="1" t="str">
        <f>IF(TRIM(sales_dataset[[#This Row],[Region]])="", J38, PROPER(TRIM(sales_dataset[[#This Row],[Region]])))</f>
        <v>South</v>
      </c>
      <c r="N36" s="1" t="s">
        <v>39</v>
      </c>
      <c r="Q36" s="1" t="s">
        <v>82</v>
      </c>
      <c r="R36" s="1" t="str">
        <f>IF(TRIM(sales_dataset[[#This Row],[ProductCategory]])="", R54, PROPER(TRIM(sales_dataset[[#This Row],[ProductCategory]])))</f>
        <v>Electronics</v>
      </c>
      <c r="T36" s="1" t="s">
        <v>87</v>
      </c>
      <c r="V36">
        <v>1</v>
      </c>
      <c r="W36" t="str">
        <f>IF(TRIM(sales_dataset[[#This Row],[Quantity]])="",V42,PROPER(TRIM(sales_dataset[[#This Row],[Quantity]])))</f>
        <v>1</v>
      </c>
      <c r="Y36">
        <v>-100</v>
      </c>
      <c r="Z36" t="str">
        <f>IF(TRIM(sales_dataset[[#This Row],[UnitPrice]])="",Y38,PROPER(TRIM(sales_dataset[[#This Row],[UnitPrice]])))</f>
        <v>-100</v>
      </c>
      <c r="AB36">
        <v>-100</v>
      </c>
      <c r="AC36" s="1" t="str">
        <f>IF(TRIM(sales_dataset[[#This Row],[TotalRevenue]])="",AB38,PROPER(TRIM(sales_dataset[[#This Row],[TotalRevenue]])))</f>
        <v>-100</v>
      </c>
      <c r="AD36" s="1">
        <f>ABS(sales_dataset[[#This Row],[Column5]])</f>
        <v>100</v>
      </c>
      <c r="AE36" s="1">
        <f>sales_dataset[[#This Row],[Column17]]*sales_dataset[[#This Row],[Column16]]</f>
        <v>0</v>
      </c>
    </row>
    <row r="37" spans="3:31" x14ac:dyDescent="0.3">
      <c r="C37" s="1" t="s">
        <v>19</v>
      </c>
      <c r="F37" s="1" t="s">
        <v>27</v>
      </c>
      <c r="H37" s="1" t="s">
        <v>45</v>
      </c>
      <c r="J37" s="1" t="s">
        <v>98</v>
      </c>
      <c r="K37" s="1" t="str">
        <f>IF(TRIM(sales_dataset[[#This Row],[Region]])="", J39, PROPER(TRIM(sales_dataset[[#This Row],[Region]])))</f>
        <v>South</v>
      </c>
      <c r="N37" s="1" t="s">
        <v>30</v>
      </c>
      <c r="Q37" s="1" t="s">
        <v>41</v>
      </c>
      <c r="R37" s="1" t="str">
        <f>IF(TRIM(sales_dataset[[#This Row],[ProductCategory]])="", R55, PROPER(TRIM(sales_dataset[[#This Row],[ProductCategory]])))</f>
        <v>Home</v>
      </c>
      <c r="T37" s="1" t="s">
        <v>95</v>
      </c>
      <c r="V37">
        <v>1</v>
      </c>
      <c r="W37" t="str">
        <f>IF(TRIM(sales_dataset[[#This Row],[Quantity]])="",V43,PROPER(TRIM(sales_dataset[[#This Row],[Quantity]])))</f>
        <v>1</v>
      </c>
      <c r="Y37">
        <v>-100</v>
      </c>
      <c r="Z37" t="str">
        <f>IF(TRIM(sales_dataset[[#This Row],[UnitPrice]])="",Y39,PROPER(TRIM(sales_dataset[[#This Row],[UnitPrice]])))</f>
        <v>-100</v>
      </c>
      <c r="AB37">
        <v>-100</v>
      </c>
      <c r="AC37" s="1" t="str">
        <f>IF(TRIM(sales_dataset[[#This Row],[TotalRevenue]])="",AB39,PROPER(TRIM(sales_dataset[[#This Row],[TotalRevenue]])))</f>
        <v>-100</v>
      </c>
      <c r="AD37" s="1">
        <f>ABS(sales_dataset[[#This Row],[Column5]])</f>
        <v>100</v>
      </c>
      <c r="AE37" s="1">
        <f>sales_dataset[[#This Row],[Column17]]*sales_dataset[[#This Row],[Column16]]</f>
        <v>0</v>
      </c>
    </row>
    <row r="38" spans="3:31" x14ac:dyDescent="0.3">
      <c r="C38" s="1" t="s">
        <v>16</v>
      </c>
      <c r="F38" s="1" t="s">
        <v>60</v>
      </c>
      <c r="H38" s="1" t="s">
        <v>73</v>
      </c>
      <c r="J38" s="1" t="s">
        <v>98</v>
      </c>
      <c r="K38" s="1" t="str">
        <f>IF(TRIM(sales_dataset[[#This Row],[Region]])="", J40, PROPER(TRIM(sales_dataset[[#This Row],[Region]])))</f>
        <v>South</v>
      </c>
      <c r="N38" s="1" t="s">
        <v>30</v>
      </c>
      <c r="Q38" s="1" t="s">
        <v>41</v>
      </c>
      <c r="R38" s="1" t="str">
        <f>IF(TRIM(sales_dataset[[#This Row],[ProductCategory]])="", R56, PROPER(TRIM(sales_dataset[[#This Row],[ProductCategory]])))</f>
        <v>Home</v>
      </c>
      <c r="T38" s="1" t="s">
        <v>33</v>
      </c>
      <c r="V38">
        <v>4</v>
      </c>
      <c r="W38" t="str">
        <f>IF(TRIM(sales_dataset[[#This Row],[Quantity]])="",V44,PROPER(TRIM(sales_dataset[[#This Row],[Quantity]])))</f>
        <v>4</v>
      </c>
      <c r="Z38">
        <f>IF(TRIM(sales_dataset[[#This Row],[UnitPrice]])="",Y40,PROPER(TRIM(sales_dataset[[#This Row],[UnitPrice]])))</f>
        <v>1500</v>
      </c>
      <c r="AC38" s="1">
        <f>IF(TRIM(sales_dataset[[#This Row],[TotalRevenue]])="",AB40,PROPER(TRIM(sales_dataset[[#This Row],[TotalRevenue]])))</f>
        <v>3000</v>
      </c>
      <c r="AD38" s="1">
        <f>ABS(sales_dataset[[#This Row],[Column5]])</f>
        <v>3000</v>
      </c>
      <c r="AE38" s="1">
        <f>sales_dataset[[#This Row],[Column17]]*sales_dataset[[#This Row],[Column16]]</f>
        <v>0</v>
      </c>
    </row>
    <row r="39" spans="3:31" x14ac:dyDescent="0.3">
      <c r="C39" s="1" t="s">
        <v>25</v>
      </c>
      <c r="F39" s="1" t="s">
        <v>72</v>
      </c>
      <c r="H39" s="1" t="s">
        <v>147</v>
      </c>
      <c r="J39" s="1" t="s">
        <v>19</v>
      </c>
      <c r="K39" s="1" t="str">
        <f>IF(TRIM(sales_dataset[[#This Row],[Region]])="", J41, PROPER(TRIM(sales_dataset[[#This Row],[Region]])))</f>
        <v>South</v>
      </c>
      <c r="N39" s="1" t="s">
        <v>48</v>
      </c>
      <c r="Q39" s="1" t="s">
        <v>63</v>
      </c>
      <c r="R39" s="1" t="str">
        <f>IF(TRIM(sales_dataset[[#This Row],[ProductCategory]])="", R57, PROPER(TRIM(sales_dataset[[#This Row],[ProductCategory]])))</f>
        <v>Clothing</v>
      </c>
      <c r="T39" s="1" t="s">
        <v>87</v>
      </c>
      <c r="V39">
        <v>3</v>
      </c>
      <c r="W39" t="str">
        <f>IF(TRIM(sales_dataset[[#This Row],[Quantity]])="",V45,PROPER(TRIM(sales_dataset[[#This Row],[Quantity]])))</f>
        <v>3</v>
      </c>
      <c r="Y39">
        <v>-100</v>
      </c>
      <c r="Z39" t="str">
        <f>IF(TRIM(sales_dataset[[#This Row],[UnitPrice]])="",Y41,PROPER(TRIM(sales_dataset[[#This Row],[UnitPrice]])))</f>
        <v>-100</v>
      </c>
      <c r="AB39">
        <v>-300</v>
      </c>
      <c r="AC39" s="1" t="str">
        <f>IF(TRIM(sales_dataset[[#This Row],[TotalRevenue]])="",AB41,PROPER(TRIM(sales_dataset[[#This Row],[TotalRevenue]])))</f>
        <v>-300</v>
      </c>
      <c r="AD39" s="1">
        <f>ABS(sales_dataset[[#This Row],[Column5]])</f>
        <v>300</v>
      </c>
      <c r="AE39" s="1">
        <f>sales_dataset[[#This Row],[Column17]]*sales_dataset[[#This Row],[Column16]]</f>
        <v>0</v>
      </c>
    </row>
    <row r="40" spans="3:31" x14ac:dyDescent="0.3">
      <c r="C40" s="1" t="s">
        <v>35</v>
      </c>
      <c r="F40" s="1" t="s">
        <v>118</v>
      </c>
      <c r="H40" s="1" t="s">
        <v>45</v>
      </c>
      <c r="J40" s="1" t="s">
        <v>37</v>
      </c>
      <c r="K40" s="1" t="str">
        <f>IF(TRIM(sales_dataset[[#This Row],[Region]])="", J42, PROPER(TRIM(sales_dataset[[#This Row],[Region]])))</f>
        <v>North</v>
      </c>
      <c r="N40" s="1" t="s">
        <v>30</v>
      </c>
      <c r="Q40" s="1" t="s">
        <v>32</v>
      </c>
      <c r="R40" s="1" t="str">
        <f>IF(TRIM(sales_dataset[[#This Row],[ProductCategory]])="", R58, PROPER(TRIM(sales_dataset[[#This Row],[ProductCategory]])))</f>
        <v>Electronics</v>
      </c>
      <c r="T40" s="1" t="s">
        <v>33</v>
      </c>
      <c r="V40">
        <v>2</v>
      </c>
      <c r="W40" t="str">
        <f>IF(TRIM(sales_dataset[[#This Row],[Quantity]])="",V46,PROPER(TRIM(sales_dataset[[#This Row],[Quantity]])))</f>
        <v>2</v>
      </c>
      <c r="Y40">
        <v>1500</v>
      </c>
      <c r="Z40" t="str">
        <f>IF(TRIM(sales_dataset[[#This Row],[UnitPrice]])="",Y42,PROPER(TRIM(sales_dataset[[#This Row],[UnitPrice]])))</f>
        <v>1500</v>
      </c>
      <c r="AB40">
        <v>3000</v>
      </c>
      <c r="AC40" s="1" t="str">
        <f>IF(TRIM(sales_dataset[[#This Row],[TotalRevenue]])="",AB42,PROPER(TRIM(sales_dataset[[#This Row],[TotalRevenue]])))</f>
        <v>3000</v>
      </c>
      <c r="AD40" s="1">
        <f>ABS(sales_dataset[[#This Row],[Column5]])</f>
        <v>3000</v>
      </c>
      <c r="AE40" s="1">
        <f>sales_dataset[[#This Row],[Column17]]*sales_dataset[[#This Row],[Column16]]</f>
        <v>0</v>
      </c>
    </row>
    <row r="41" spans="3:31" x14ac:dyDescent="0.3">
      <c r="C41" s="1" t="s">
        <v>43</v>
      </c>
      <c r="F41" s="1" t="s">
        <v>18</v>
      </c>
      <c r="H41" s="1" t="s">
        <v>28</v>
      </c>
      <c r="J41" s="1" t="s">
        <v>98</v>
      </c>
      <c r="K41" s="1" t="str">
        <f>IF(TRIM(sales_dataset[[#This Row],[Region]])="", J43, PROPER(TRIM(sales_dataset[[#This Row],[Region]])))</f>
        <v>South</v>
      </c>
      <c r="N41" s="1" t="s">
        <v>56</v>
      </c>
      <c r="Q41" s="1" t="s">
        <v>19</v>
      </c>
      <c r="R41" s="1" t="str">
        <f>IF(TRIM(sales_dataset[[#This Row],[ProductCategory]])="", R59, PROPER(TRIM(sales_dataset[[#This Row],[ProductCategory]])))</f>
        <v>Electronics</v>
      </c>
      <c r="T41" s="1" t="s">
        <v>33</v>
      </c>
      <c r="V41">
        <v>-1</v>
      </c>
      <c r="W41" t="str">
        <f>IF(TRIM(sales_dataset[[#This Row],[Quantity]])="",V47,PROPER(TRIM(sales_dataset[[#This Row],[Quantity]])))</f>
        <v>-1</v>
      </c>
      <c r="Y41">
        <v>1500</v>
      </c>
      <c r="Z41" t="str">
        <f>IF(TRIM(sales_dataset[[#This Row],[UnitPrice]])="",Y43,PROPER(TRIM(sales_dataset[[#This Row],[UnitPrice]])))</f>
        <v>1500</v>
      </c>
      <c r="AB41">
        <v>-1500</v>
      </c>
      <c r="AC41" s="1" t="str">
        <f>IF(TRIM(sales_dataset[[#This Row],[TotalRevenue]])="",AB43,PROPER(TRIM(sales_dataset[[#This Row],[TotalRevenue]])))</f>
        <v>-1500</v>
      </c>
      <c r="AD41" s="1">
        <f>ABS(sales_dataset[[#This Row],[Column5]])</f>
        <v>1500</v>
      </c>
      <c r="AE41" s="1">
        <f>sales_dataset[[#This Row],[Column17]]*sales_dataset[[#This Row],[Column16]]</f>
        <v>0</v>
      </c>
    </row>
    <row r="42" spans="3:31" x14ac:dyDescent="0.3">
      <c r="C42" s="1" t="s">
        <v>51</v>
      </c>
      <c r="F42" s="1" t="s">
        <v>118</v>
      </c>
      <c r="H42" s="1" t="s">
        <v>45</v>
      </c>
      <c r="J42" s="1" t="s">
        <v>19</v>
      </c>
      <c r="K42" s="1" t="str">
        <f>IF(TRIM(sales_dataset[[#This Row],[Region]])="", J44, PROPER(TRIM(sales_dataset[[#This Row],[Region]])))</f>
        <v>North</v>
      </c>
      <c r="N42" s="1" t="s">
        <v>48</v>
      </c>
      <c r="Q42" s="1" t="s">
        <v>32</v>
      </c>
      <c r="R42" s="1" t="str">
        <f>IF(TRIM(sales_dataset[[#This Row],[ProductCategory]])="", R60, PROPER(TRIM(sales_dataset[[#This Row],[ProductCategory]])))</f>
        <v>Electronics</v>
      </c>
      <c r="T42" s="1" t="s">
        <v>69</v>
      </c>
      <c r="V42">
        <v>-1</v>
      </c>
      <c r="W42" t="str">
        <f>IF(TRIM(sales_dataset[[#This Row],[Quantity]])="",V48,PROPER(TRIM(sales_dataset[[#This Row],[Quantity]])))</f>
        <v>-1</v>
      </c>
      <c r="Y42">
        <v>1500</v>
      </c>
      <c r="Z42" t="str">
        <f>IF(TRIM(sales_dataset[[#This Row],[UnitPrice]])="",Y44,PROPER(TRIM(sales_dataset[[#This Row],[UnitPrice]])))</f>
        <v>1500</v>
      </c>
      <c r="AB42">
        <v>-1500</v>
      </c>
      <c r="AC42" s="1" t="str">
        <f>IF(TRIM(sales_dataset[[#This Row],[TotalRevenue]])="",AB44,PROPER(TRIM(sales_dataset[[#This Row],[TotalRevenue]])))</f>
        <v>-1500</v>
      </c>
      <c r="AD42" s="1">
        <f>ABS(sales_dataset[[#This Row],[Column5]])</f>
        <v>1500</v>
      </c>
      <c r="AE42" s="1">
        <f>sales_dataset[[#This Row],[Column17]]*sales_dataset[[#This Row],[Column16]]</f>
        <v>0</v>
      </c>
    </row>
    <row r="43" spans="3:31" x14ac:dyDescent="0.3">
      <c r="C43" s="1" t="s">
        <v>19</v>
      </c>
      <c r="F43" s="1" t="s">
        <v>19</v>
      </c>
      <c r="H43" s="1" t="s">
        <v>73</v>
      </c>
      <c r="J43" s="1" t="s">
        <v>66</v>
      </c>
      <c r="K43" s="1" t="str">
        <f>IF(TRIM(sales_dataset[[#This Row],[Region]])="", J45, PROPER(TRIM(sales_dataset[[#This Row],[Region]])))</f>
        <v>West</v>
      </c>
      <c r="N43" s="1" t="s">
        <v>19</v>
      </c>
      <c r="Q43" s="1" t="s">
        <v>41</v>
      </c>
      <c r="R43" s="1" t="str">
        <f>IF(TRIM(sales_dataset[[#This Row],[ProductCategory]])="", R61, PROPER(TRIM(sales_dataset[[#This Row],[ProductCategory]])))</f>
        <v>Home</v>
      </c>
      <c r="T43" s="1" t="s">
        <v>23</v>
      </c>
      <c r="V43">
        <v>2</v>
      </c>
      <c r="W43" t="str">
        <f>IF(TRIM(sales_dataset[[#This Row],[Quantity]])="",V49,PROPER(TRIM(sales_dataset[[#This Row],[Quantity]])))</f>
        <v>2</v>
      </c>
      <c r="Z43">
        <f>IF(TRIM(sales_dataset[[#This Row],[UnitPrice]])="",Y45,PROPER(TRIM(sales_dataset[[#This Row],[UnitPrice]])))</f>
        <v>2000</v>
      </c>
      <c r="AC43" s="1">
        <f>IF(TRIM(sales_dataset[[#This Row],[TotalRevenue]])="",AB45,PROPER(TRIM(sales_dataset[[#This Row],[TotalRevenue]])))</f>
        <v>-2000</v>
      </c>
      <c r="AD43" s="1">
        <f>ABS(sales_dataset[[#This Row],[Column5]])</f>
        <v>2000</v>
      </c>
      <c r="AE43" s="1">
        <f>sales_dataset[[#This Row],[Column17]]*sales_dataset[[#This Row],[Column16]]</f>
        <v>0</v>
      </c>
    </row>
    <row r="44" spans="3:31" x14ac:dyDescent="0.3">
      <c r="C44" s="1" t="s">
        <v>16</v>
      </c>
      <c r="F44" s="1" t="s">
        <v>27</v>
      </c>
      <c r="H44" s="1" t="s">
        <v>79</v>
      </c>
      <c r="J44" s="1" t="s">
        <v>46</v>
      </c>
      <c r="K44" s="1" t="str">
        <f>IF(TRIM(sales_dataset[[#This Row],[Region]])="", J46, PROPER(TRIM(sales_dataset[[#This Row],[Region]])))</f>
        <v>North</v>
      </c>
      <c r="N44" s="1" t="s">
        <v>19</v>
      </c>
      <c r="Q44" s="1" t="s">
        <v>19</v>
      </c>
      <c r="R44" s="1" t="str">
        <f>IF(TRIM(sales_dataset[[#This Row],[ProductCategory]])="", R62, PROPER(TRIM(sales_dataset[[#This Row],[ProductCategory]])))</f>
        <v>Electronics</v>
      </c>
      <c r="T44" s="1" t="s">
        <v>23</v>
      </c>
      <c r="V44">
        <v>5</v>
      </c>
      <c r="W44" t="str">
        <f>IF(TRIM(sales_dataset[[#This Row],[Quantity]])="",V50,PROPER(TRIM(sales_dataset[[#This Row],[Quantity]])))</f>
        <v>5</v>
      </c>
      <c r="Y44">
        <v>-100</v>
      </c>
      <c r="Z44" t="str">
        <f>IF(TRIM(sales_dataset[[#This Row],[UnitPrice]])="",Y46,PROPER(TRIM(sales_dataset[[#This Row],[UnitPrice]])))</f>
        <v>-100</v>
      </c>
      <c r="AB44">
        <v>-500</v>
      </c>
      <c r="AC44" s="1" t="str">
        <f>IF(TRIM(sales_dataset[[#This Row],[TotalRevenue]])="",AB46,PROPER(TRIM(sales_dataset[[#This Row],[TotalRevenue]])))</f>
        <v>-500</v>
      </c>
      <c r="AD44" s="1">
        <f>ABS(sales_dataset[[#This Row],[Column5]])</f>
        <v>500</v>
      </c>
      <c r="AE44" s="1">
        <f>sales_dataset[[#This Row],[Column17]]*sales_dataset[[#This Row],[Column16]]</f>
        <v>0</v>
      </c>
    </row>
    <row r="45" spans="3:31" x14ac:dyDescent="0.3">
      <c r="C45" s="1" t="s">
        <v>25</v>
      </c>
      <c r="F45" s="1" t="s">
        <v>53</v>
      </c>
      <c r="H45" s="1" t="s">
        <v>19</v>
      </c>
      <c r="J45" s="1" t="s">
        <v>66</v>
      </c>
      <c r="K45" s="1" t="str">
        <f>IF(TRIM(sales_dataset[[#This Row],[Region]])="", J47, PROPER(TRIM(sales_dataset[[#This Row],[Region]])))</f>
        <v>West</v>
      </c>
      <c r="N45" s="1" t="s">
        <v>30</v>
      </c>
      <c r="Q45" s="1" t="s">
        <v>63</v>
      </c>
      <c r="R45" s="1" t="str">
        <f>IF(TRIM(sales_dataset[[#This Row],[ProductCategory]])="", R63, PROPER(TRIM(sales_dataset[[#This Row],[ProductCategory]])))</f>
        <v>Clothing</v>
      </c>
      <c r="T45" s="1" t="s">
        <v>76</v>
      </c>
      <c r="V45">
        <v>-1</v>
      </c>
      <c r="W45" t="str">
        <f>IF(TRIM(sales_dataset[[#This Row],[Quantity]])="",V51,PROPER(TRIM(sales_dataset[[#This Row],[Quantity]])))</f>
        <v>-1</v>
      </c>
      <c r="Y45">
        <v>2000</v>
      </c>
      <c r="Z45" t="str">
        <f>IF(TRIM(sales_dataset[[#This Row],[UnitPrice]])="",Y47,PROPER(TRIM(sales_dataset[[#This Row],[UnitPrice]])))</f>
        <v>2000</v>
      </c>
      <c r="AB45">
        <v>-2000</v>
      </c>
      <c r="AC45" s="1" t="str">
        <f>IF(TRIM(sales_dataset[[#This Row],[TotalRevenue]])="",AB47,PROPER(TRIM(sales_dataset[[#This Row],[TotalRevenue]])))</f>
        <v>-2000</v>
      </c>
      <c r="AD45" s="1">
        <f>ABS(sales_dataset[[#This Row],[Column5]])</f>
        <v>2000</v>
      </c>
      <c r="AE45" s="1">
        <f>sales_dataset[[#This Row],[Column17]]*sales_dataset[[#This Row],[Column16]]</f>
        <v>0</v>
      </c>
    </row>
    <row r="46" spans="3:31" x14ac:dyDescent="0.3">
      <c r="C46" s="1" t="s">
        <v>35</v>
      </c>
      <c r="F46" s="1" t="s">
        <v>27</v>
      </c>
      <c r="H46" s="1" t="s">
        <v>19</v>
      </c>
      <c r="J46" s="1" t="s">
        <v>80</v>
      </c>
      <c r="K46" s="1" t="str">
        <f>IF(TRIM(sales_dataset[[#This Row],[Region]])="", J48, PROPER(TRIM(sales_dataset[[#This Row],[Region]])))</f>
        <v>East</v>
      </c>
      <c r="N46" s="1" t="s">
        <v>39</v>
      </c>
      <c r="Q46" s="1" t="s">
        <v>32</v>
      </c>
      <c r="R46" s="1" t="str">
        <f>IF(TRIM(sales_dataset[[#This Row],[ProductCategory]])="", R64, PROPER(TRIM(sales_dataset[[#This Row],[ProductCategory]])))</f>
        <v>Electronics</v>
      </c>
      <c r="T46" s="1" t="s">
        <v>95</v>
      </c>
      <c r="V46">
        <v>2</v>
      </c>
      <c r="W46" t="str">
        <f>IF(TRIM(sales_dataset[[#This Row],[Quantity]])="",V52,PROPER(TRIM(sales_dataset[[#This Row],[Quantity]])))</f>
        <v>2</v>
      </c>
      <c r="Y46">
        <v>-100</v>
      </c>
      <c r="Z46" t="str">
        <f>IF(TRIM(sales_dataset[[#This Row],[UnitPrice]])="",Y48,PROPER(TRIM(sales_dataset[[#This Row],[UnitPrice]])))</f>
        <v>-100</v>
      </c>
      <c r="AB46">
        <v>-200</v>
      </c>
      <c r="AC46" s="1" t="str">
        <f>IF(TRIM(sales_dataset[[#This Row],[TotalRevenue]])="",AB48,PROPER(TRIM(sales_dataset[[#This Row],[TotalRevenue]])))</f>
        <v>-200</v>
      </c>
      <c r="AD46" s="1">
        <f>ABS(sales_dataset[[#This Row],[Column5]])</f>
        <v>200</v>
      </c>
      <c r="AE46" s="1">
        <f>sales_dataset[[#This Row],[Column17]]*sales_dataset[[#This Row],[Column16]]</f>
        <v>0</v>
      </c>
    </row>
    <row r="47" spans="3:31" x14ac:dyDescent="0.3">
      <c r="C47" s="1" t="s">
        <v>43</v>
      </c>
      <c r="F47" s="1" t="s">
        <v>19</v>
      </c>
      <c r="H47" s="1" t="s">
        <v>79</v>
      </c>
      <c r="J47" s="1" t="s">
        <v>19</v>
      </c>
      <c r="K47" s="1" t="str">
        <f>IF(TRIM(sales_dataset[[#This Row],[Region]])="", J49, PROPER(TRIM(sales_dataset[[#This Row],[Region]])))</f>
        <v>South</v>
      </c>
      <c r="N47" s="1" t="s">
        <v>19</v>
      </c>
      <c r="Q47" s="1" t="s">
        <v>82</v>
      </c>
      <c r="R47" s="1" t="str">
        <f>IF(TRIM(sales_dataset[[#This Row],[ProductCategory]])="", R65, PROPER(TRIM(sales_dataset[[#This Row],[ProductCategory]])))</f>
        <v>Electronics</v>
      </c>
      <c r="T47" s="1" t="s">
        <v>95</v>
      </c>
      <c r="V47">
        <v>4</v>
      </c>
      <c r="W47" t="str">
        <f>IF(TRIM(sales_dataset[[#This Row],[Quantity]])="",V53,PROPER(TRIM(sales_dataset[[#This Row],[Quantity]])))</f>
        <v>4</v>
      </c>
      <c r="Y47">
        <v>2000</v>
      </c>
      <c r="Z47" t="str">
        <f>IF(TRIM(sales_dataset[[#This Row],[UnitPrice]])="",Y49,PROPER(TRIM(sales_dataset[[#This Row],[UnitPrice]])))</f>
        <v>2000</v>
      </c>
      <c r="AB47">
        <v>8000</v>
      </c>
      <c r="AC47" s="1" t="str">
        <f>IF(TRIM(sales_dataset[[#This Row],[TotalRevenue]])="",AB49,PROPER(TRIM(sales_dataset[[#This Row],[TotalRevenue]])))</f>
        <v>8000</v>
      </c>
      <c r="AD47" s="1">
        <f>ABS(sales_dataset[[#This Row],[Column5]])</f>
        <v>8000</v>
      </c>
      <c r="AE47" s="1">
        <f>sales_dataset[[#This Row],[Column17]]*sales_dataset[[#This Row],[Column16]]</f>
        <v>0</v>
      </c>
    </row>
    <row r="48" spans="3:31" x14ac:dyDescent="0.3">
      <c r="C48" s="1" t="s">
        <v>51</v>
      </c>
      <c r="F48" s="1" t="s">
        <v>60</v>
      </c>
      <c r="H48" s="1" t="s">
        <v>45</v>
      </c>
      <c r="J48" s="1" t="s">
        <v>19</v>
      </c>
      <c r="K48" s="1" t="str">
        <f>IF(TRIM(sales_dataset[[#This Row],[Region]])="", J50, PROPER(TRIM(sales_dataset[[#This Row],[Region]])))</f>
        <v>West</v>
      </c>
      <c r="N48" s="1" t="s">
        <v>30</v>
      </c>
      <c r="Q48" s="1" t="s">
        <v>82</v>
      </c>
      <c r="R48" s="1" t="str">
        <f>IF(TRIM(sales_dataset[[#This Row],[ProductCategory]])="", R66, PROPER(TRIM(sales_dataset[[#This Row],[ProductCategory]])))</f>
        <v>Electronics</v>
      </c>
      <c r="T48" s="1" t="s">
        <v>19</v>
      </c>
      <c r="V48">
        <v>-1</v>
      </c>
      <c r="W48" t="str">
        <f>IF(TRIM(sales_dataset[[#This Row],[Quantity]])="",V54,PROPER(TRIM(sales_dataset[[#This Row],[Quantity]])))</f>
        <v>-1</v>
      </c>
      <c r="Y48">
        <v>-100</v>
      </c>
      <c r="Z48" t="str">
        <f>IF(TRIM(sales_dataset[[#This Row],[UnitPrice]])="",Y50,PROPER(TRIM(sales_dataset[[#This Row],[UnitPrice]])))</f>
        <v>-100</v>
      </c>
      <c r="AB48">
        <v>50</v>
      </c>
      <c r="AC48" s="1" t="str">
        <f>IF(TRIM(sales_dataset[[#This Row],[TotalRevenue]])="",AB50,PROPER(TRIM(sales_dataset[[#This Row],[TotalRevenue]])))</f>
        <v>50</v>
      </c>
      <c r="AD48" s="1">
        <f>ABS(sales_dataset[[#This Row],[Column5]])</f>
        <v>50</v>
      </c>
      <c r="AE48" s="1">
        <f>sales_dataset[[#This Row],[Column17]]*sales_dataset[[#This Row],[Column16]]</f>
        <v>0</v>
      </c>
    </row>
    <row r="49" spans="3:31" x14ac:dyDescent="0.3">
      <c r="C49" s="1" t="s">
        <v>19</v>
      </c>
      <c r="F49" s="1" t="s">
        <v>72</v>
      </c>
      <c r="H49" s="1" t="s">
        <v>54</v>
      </c>
      <c r="J49" s="1" t="s">
        <v>98</v>
      </c>
      <c r="K49" s="1" t="str">
        <f>IF(TRIM(sales_dataset[[#This Row],[Region]])="", J51, PROPER(TRIM(sales_dataset[[#This Row],[Region]])))</f>
        <v>South</v>
      </c>
      <c r="N49" s="1" t="s">
        <v>56</v>
      </c>
      <c r="Q49" s="1" t="s">
        <v>19</v>
      </c>
      <c r="R49" s="1" t="str">
        <f>IF(TRIM(sales_dataset[[#This Row],[ProductCategory]])="", R67, PROPER(TRIM(sales_dataset[[#This Row],[ProductCategory]])))</f>
        <v>Clothing</v>
      </c>
      <c r="T49" s="1" t="s">
        <v>76</v>
      </c>
      <c r="V49">
        <v>-1</v>
      </c>
      <c r="W49" t="str">
        <f>IF(TRIM(sales_dataset[[#This Row],[Quantity]])="",V55,PROPER(TRIM(sales_dataset[[#This Row],[Quantity]])))</f>
        <v>-1</v>
      </c>
      <c r="Y49">
        <v>1500</v>
      </c>
      <c r="Z49" t="str">
        <f>IF(TRIM(sales_dataset[[#This Row],[UnitPrice]])="",Y51,PROPER(TRIM(sales_dataset[[#This Row],[UnitPrice]])))</f>
        <v>1500</v>
      </c>
      <c r="AB49">
        <v>-1500</v>
      </c>
      <c r="AC49" s="1" t="str">
        <f>IF(TRIM(sales_dataset[[#This Row],[TotalRevenue]])="",AB51,PROPER(TRIM(sales_dataset[[#This Row],[TotalRevenue]])))</f>
        <v>-1500</v>
      </c>
      <c r="AD49" s="1">
        <f>ABS(sales_dataset[[#This Row],[Column5]])</f>
        <v>1500</v>
      </c>
      <c r="AE49" s="1">
        <f>sales_dataset[[#This Row],[Column17]]*sales_dataset[[#This Row],[Column16]]</f>
        <v>0</v>
      </c>
    </row>
    <row r="50" spans="3:31" x14ac:dyDescent="0.3">
      <c r="C50" s="1" t="s">
        <v>16</v>
      </c>
      <c r="F50" s="1" t="s">
        <v>18</v>
      </c>
      <c r="H50" s="1" t="s">
        <v>147</v>
      </c>
      <c r="J50" s="1" t="s">
        <v>66</v>
      </c>
      <c r="K50" s="1" t="str">
        <f>IF(TRIM(sales_dataset[[#This Row],[Region]])="", J52, PROPER(TRIM(sales_dataset[[#This Row],[Region]])))</f>
        <v>West</v>
      </c>
      <c r="N50" s="1" t="s">
        <v>56</v>
      </c>
      <c r="Q50" s="1" t="s">
        <v>82</v>
      </c>
      <c r="R50" s="1" t="str">
        <f>IF(TRIM(sales_dataset[[#This Row],[ProductCategory]])="", R68, PROPER(TRIM(sales_dataset[[#This Row],[ProductCategory]])))</f>
        <v>Electronics</v>
      </c>
      <c r="T50" s="1" t="s">
        <v>69</v>
      </c>
      <c r="V50">
        <v>-1</v>
      </c>
      <c r="W50" t="str">
        <f>IF(TRIM(sales_dataset[[#This Row],[Quantity]])="",V56,PROPER(TRIM(sales_dataset[[#This Row],[Quantity]])))</f>
        <v>-1</v>
      </c>
      <c r="Y50">
        <v>-100</v>
      </c>
      <c r="Z50" t="str">
        <f>IF(TRIM(sales_dataset[[#This Row],[UnitPrice]])="",Y52,PROPER(TRIM(sales_dataset[[#This Row],[UnitPrice]])))</f>
        <v>-100</v>
      </c>
      <c r="AB50">
        <v>100</v>
      </c>
      <c r="AC50" s="1" t="str">
        <f>IF(TRIM(sales_dataset[[#This Row],[TotalRevenue]])="",AB52,PROPER(TRIM(sales_dataset[[#This Row],[TotalRevenue]])))</f>
        <v>100</v>
      </c>
      <c r="AD50" s="1">
        <f>ABS(sales_dataset[[#This Row],[Column5]])</f>
        <v>100</v>
      </c>
      <c r="AE50" s="1">
        <f>sales_dataset[[#This Row],[Column17]]*sales_dataset[[#This Row],[Column16]]</f>
        <v>0</v>
      </c>
    </row>
    <row r="51" spans="3:31" x14ac:dyDescent="0.3">
      <c r="C51" s="1" t="s">
        <v>25</v>
      </c>
      <c r="F51" s="1" t="s">
        <v>118</v>
      </c>
      <c r="H51" s="1" t="s">
        <v>79</v>
      </c>
      <c r="J51" s="1" t="s">
        <v>37</v>
      </c>
      <c r="K51" s="1" t="str">
        <f>IF(TRIM(sales_dataset[[#This Row],[Region]])="", J53, PROPER(TRIM(sales_dataset[[#This Row],[Region]])))</f>
        <v>North</v>
      </c>
      <c r="N51" s="1" t="s">
        <v>39</v>
      </c>
      <c r="Q51" s="1" t="s">
        <v>82</v>
      </c>
      <c r="R51" s="1" t="str">
        <f>IF(TRIM(sales_dataset[[#This Row],[ProductCategory]])="", R69, PROPER(TRIM(sales_dataset[[#This Row],[ProductCategory]])))</f>
        <v>Electronics</v>
      </c>
      <c r="T51" s="1" t="s">
        <v>23</v>
      </c>
      <c r="V51">
        <v>1</v>
      </c>
      <c r="W51" t="str">
        <f>IF(TRIM(sales_dataset[[#This Row],[Quantity]])="",V57,PROPER(TRIM(sales_dataset[[#This Row],[Quantity]])))</f>
        <v>1</v>
      </c>
      <c r="Y51">
        <v>-100</v>
      </c>
      <c r="Z51" t="str">
        <f>IF(TRIM(sales_dataset[[#This Row],[UnitPrice]])="",Y53,PROPER(TRIM(sales_dataset[[#This Row],[UnitPrice]])))</f>
        <v>-100</v>
      </c>
      <c r="AB51">
        <v>-100</v>
      </c>
      <c r="AC51" s="1" t="str">
        <f>IF(TRIM(sales_dataset[[#This Row],[TotalRevenue]])="",AB53,PROPER(TRIM(sales_dataset[[#This Row],[TotalRevenue]])))</f>
        <v>-100</v>
      </c>
      <c r="AD51" s="1">
        <f>ABS(sales_dataset[[#This Row],[Column5]])</f>
        <v>100</v>
      </c>
      <c r="AE51" s="1">
        <f>sales_dataset[[#This Row],[Column17]]*sales_dataset[[#This Row],[Column16]]</f>
        <v>0</v>
      </c>
    </row>
    <row r="52" spans="3:31" x14ac:dyDescent="0.3">
      <c r="C52" s="1" t="s">
        <v>35</v>
      </c>
      <c r="F52" s="1" t="s">
        <v>72</v>
      </c>
      <c r="H52" s="1" t="s">
        <v>73</v>
      </c>
      <c r="J52" s="1" t="s">
        <v>80</v>
      </c>
      <c r="K52" s="1" t="str">
        <f>IF(TRIM(sales_dataset[[#This Row],[Region]])="", J54, PROPER(TRIM(sales_dataset[[#This Row],[Region]])))</f>
        <v>East</v>
      </c>
      <c r="N52" s="1" t="s">
        <v>48</v>
      </c>
      <c r="Q52" s="1" t="s">
        <v>41</v>
      </c>
      <c r="R52" s="1" t="str">
        <f>IF(TRIM(sales_dataset[[#This Row],[ProductCategory]])="", R70, PROPER(TRIM(sales_dataset[[#This Row],[ProductCategory]])))</f>
        <v>Home</v>
      </c>
      <c r="T52" s="1" t="s">
        <v>33</v>
      </c>
      <c r="V52">
        <v>2</v>
      </c>
      <c r="W52" t="str">
        <f>IF(TRIM(sales_dataset[[#This Row],[Quantity]])="",V58,PROPER(TRIM(sales_dataset[[#This Row],[Quantity]])))</f>
        <v>2</v>
      </c>
      <c r="Y52">
        <v>1500</v>
      </c>
      <c r="Z52" t="str">
        <f>IF(TRIM(sales_dataset[[#This Row],[UnitPrice]])="",Y54,PROPER(TRIM(sales_dataset[[#This Row],[UnitPrice]])))</f>
        <v>1500</v>
      </c>
      <c r="AB52">
        <v>3000</v>
      </c>
      <c r="AC52" s="1" t="str">
        <f>IF(TRIM(sales_dataset[[#This Row],[TotalRevenue]])="",AB54,PROPER(TRIM(sales_dataset[[#This Row],[TotalRevenue]])))</f>
        <v>3000</v>
      </c>
      <c r="AD52" s="1">
        <f>ABS(sales_dataset[[#This Row],[Column5]])</f>
        <v>3000</v>
      </c>
      <c r="AE52" s="1">
        <f>sales_dataset[[#This Row],[Column17]]*sales_dataset[[#This Row],[Column16]]</f>
        <v>0</v>
      </c>
    </row>
    <row r="53" spans="3:31" x14ac:dyDescent="0.3">
      <c r="C53" s="1" t="s">
        <v>43</v>
      </c>
      <c r="F53" s="1" t="s">
        <v>18</v>
      </c>
      <c r="H53" s="1" t="s">
        <v>73</v>
      </c>
      <c r="J53" s="1" t="s">
        <v>19</v>
      </c>
      <c r="K53" s="1" t="str">
        <f>IF(TRIM(sales_dataset[[#This Row],[Region]])="", J55, PROPER(TRIM(sales_dataset[[#This Row],[Region]])))</f>
        <v>South</v>
      </c>
      <c r="N53" s="1" t="s">
        <v>39</v>
      </c>
      <c r="Q53" s="1" t="s">
        <v>63</v>
      </c>
      <c r="R53" s="1" t="str">
        <f>IF(TRIM(sales_dataset[[#This Row],[ProductCategory]])="", R71, PROPER(TRIM(sales_dataset[[#This Row],[ProductCategory]])))</f>
        <v>Clothing</v>
      </c>
      <c r="T53" s="1" t="s">
        <v>23</v>
      </c>
      <c r="V53">
        <v>5</v>
      </c>
      <c r="W53" t="str">
        <f>IF(TRIM(sales_dataset[[#This Row],[Quantity]])="",V59,PROPER(TRIM(sales_dataset[[#This Row],[Quantity]])))</f>
        <v>5</v>
      </c>
      <c r="Z53">
        <f>IF(TRIM(sales_dataset[[#This Row],[UnitPrice]])="",Y55,PROPER(TRIM(sales_dataset[[#This Row],[UnitPrice]])))</f>
        <v>-100</v>
      </c>
      <c r="AC53" s="1">
        <f>IF(TRIM(sales_dataset[[#This Row],[TotalRevenue]])="",AB55,PROPER(TRIM(sales_dataset[[#This Row],[TotalRevenue]])))</f>
        <v>0</v>
      </c>
      <c r="AD53" s="1">
        <f>ABS(sales_dataset[[#This Row],[Column5]])</f>
        <v>0</v>
      </c>
      <c r="AE53" s="1">
        <f>sales_dataset[[#This Row],[Column17]]*sales_dataset[[#This Row],[Column16]]</f>
        <v>0</v>
      </c>
    </row>
    <row r="54" spans="3:31" x14ac:dyDescent="0.3">
      <c r="C54" s="1" t="s">
        <v>51</v>
      </c>
      <c r="F54" s="1" t="s">
        <v>27</v>
      </c>
      <c r="H54" s="1" t="s">
        <v>147</v>
      </c>
      <c r="J54" s="1" t="s">
        <v>66</v>
      </c>
      <c r="K54" s="1" t="str">
        <f>IF(TRIM(sales_dataset[[#This Row],[Region]])="", J56, PROPER(TRIM(sales_dataset[[#This Row],[Region]])))</f>
        <v>West</v>
      </c>
      <c r="N54" s="1" t="s">
        <v>30</v>
      </c>
      <c r="Q54" s="1" t="s">
        <v>82</v>
      </c>
      <c r="R54" s="1" t="str">
        <f>IF(TRIM(sales_dataset[[#This Row],[ProductCategory]])="", R72, PROPER(TRIM(sales_dataset[[#This Row],[ProductCategory]])))</f>
        <v>Electronics</v>
      </c>
      <c r="T54" s="1" t="s">
        <v>76</v>
      </c>
      <c r="V54">
        <v>4</v>
      </c>
      <c r="W54" t="str">
        <f>IF(TRIM(sales_dataset[[#This Row],[Quantity]])="",V60,PROPER(TRIM(sales_dataset[[#This Row],[Quantity]])))</f>
        <v>4</v>
      </c>
      <c r="Z54">
        <f>IF(TRIM(sales_dataset[[#This Row],[UnitPrice]])="",Y56,PROPER(TRIM(sales_dataset[[#This Row],[UnitPrice]])))</f>
        <v>-100</v>
      </c>
      <c r="AC54" s="1">
        <f>IF(TRIM(sales_dataset[[#This Row],[TotalRevenue]])="",AB56,PROPER(TRIM(sales_dataset[[#This Row],[TotalRevenue]])))</f>
        <v>-400</v>
      </c>
      <c r="AD54" s="1">
        <f>ABS(sales_dataset[[#This Row],[Column5]])</f>
        <v>400</v>
      </c>
      <c r="AE54" s="1">
        <f>sales_dataset[[#This Row],[Column17]]*sales_dataset[[#This Row],[Column16]]</f>
        <v>0</v>
      </c>
    </row>
    <row r="55" spans="3:31" x14ac:dyDescent="0.3">
      <c r="C55" s="1" t="s">
        <v>19</v>
      </c>
      <c r="F55" s="1" t="s">
        <v>53</v>
      </c>
      <c r="H55" s="1" t="s">
        <v>19</v>
      </c>
      <c r="J55" s="1" t="s">
        <v>98</v>
      </c>
      <c r="K55" s="1" t="str">
        <f>IF(TRIM(sales_dataset[[#This Row],[Region]])="", J57, PROPER(TRIM(sales_dataset[[#This Row],[Region]])))</f>
        <v>South</v>
      </c>
      <c r="N55" s="1" t="s">
        <v>39</v>
      </c>
      <c r="Q55" s="1" t="s">
        <v>82</v>
      </c>
      <c r="R55" s="1" t="str">
        <f>IF(TRIM(sales_dataset[[#This Row],[ProductCategory]])="", R73, PROPER(TRIM(sales_dataset[[#This Row],[ProductCategory]])))</f>
        <v>Electronics</v>
      </c>
      <c r="T55" s="1" t="s">
        <v>23</v>
      </c>
      <c r="W55">
        <f>IF(TRIM(sales_dataset[[#This Row],[Quantity]])="",V61,PROPER(TRIM(sales_dataset[[#This Row],[Quantity]])))</f>
        <v>1</v>
      </c>
      <c r="Y55">
        <v>-100</v>
      </c>
      <c r="Z55" t="str">
        <f>IF(TRIM(sales_dataset[[#This Row],[UnitPrice]])="",Y57,PROPER(TRIM(sales_dataset[[#This Row],[UnitPrice]])))</f>
        <v>-100</v>
      </c>
      <c r="AC55" s="1">
        <f>IF(TRIM(sales_dataset[[#This Row],[TotalRevenue]])="",AB57,PROPER(TRIM(sales_dataset[[#This Row],[TotalRevenue]])))</f>
        <v>8000</v>
      </c>
      <c r="AD55" s="1">
        <f>ABS(sales_dataset[[#This Row],[Column5]])</f>
        <v>8000</v>
      </c>
      <c r="AE55" s="1">
        <f>sales_dataset[[#This Row],[Column17]]*sales_dataset[[#This Row],[Column16]]</f>
        <v>0</v>
      </c>
    </row>
    <row r="56" spans="3:31" x14ac:dyDescent="0.3">
      <c r="C56" s="1" t="s">
        <v>16</v>
      </c>
      <c r="F56" s="1" t="s">
        <v>27</v>
      </c>
      <c r="H56" s="1" t="s">
        <v>147</v>
      </c>
      <c r="J56" s="1" t="s">
        <v>37</v>
      </c>
      <c r="K56" s="1" t="str">
        <f>IF(TRIM(sales_dataset[[#This Row],[Region]])="", J58, PROPER(TRIM(sales_dataset[[#This Row],[Region]])))</f>
        <v>North</v>
      </c>
      <c r="N56" s="1" t="s">
        <v>48</v>
      </c>
      <c r="Q56" s="1" t="s">
        <v>32</v>
      </c>
      <c r="R56" s="1" t="str">
        <f>IF(TRIM(sales_dataset[[#This Row],[ProductCategory]])="", R74, PROPER(TRIM(sales_dataset[[#This Row],[ProductCategory]])))</f>
        <v>Electronics</v>
      </c>
      <c r="T56" s="1" t="s">
        <v>33</v>
      </c>
      <c r="V56">
        <v>4</v>
      </c>
      <c r="W56" t="str">
        <f>IF(TRIM(sales_dataset[[#This Row],[Quantity]])="",V62,PROPER(TRIM(sales_dataset[[#This Row],[Quantity]])))</f>
        <v>4</v>
      </c>
      <c r="Y56">
        <v>-100</v>
      </c>
      <c r="Z56" t="str">
        <f>IF(TRIM(sales_dataset[[#This Row],[UnitPrice]])="",Y58,PROPER(TRIM(sales_dataset[[#This Row],[UnitPrice]])))</f>
        <v>-100</v>
      </c>
      <c r="AB56">
        <v>-400</v>
      </c>
      <c r="AC56" s="1" t="str">
        <f>IF(TRIM(sales_dataset[[#This Row],[TotalRevenue]])="",AB58,PROPER(TRIM(sales_dataset[[#This Row],[TotalRevenue]])))</f>
        <v>-400</v>
      </c>
      <c r="AD56" s="1">
        <f>ABS(sales_dataset[[#This Row],[Column5]])</f>
        <v>400</v>
      </c>
      <c r="AE56" s="1">
        <f>sales_dataset[[#This Row],[Column17]]*sales_dataset[[#This Row],[Column16]]</f>
        <v>0</v>
      </c>
    </row>
    <row r="57" spans="3:31" x14ac:dyDescent="0.3">
      <c r="C57" s="1" t="s">
        <v>25</v>
      </c>
      <c r="F57" s="1" t="s">
        <v>60</v>
      </c>
      <c r="H57" s="1" t="s">
        <v>147</v>
      </c>
      <c r="J57" s="1" t="s">
        <v>98</v>
      </c>
      <c r="K57" s="1" t="str">
        <f>IF(TRIM(sales_dataset[[#This Row],[Region]])="", J59, PROPER(TRIM(sales_dataset[[#This Row],[Region]])))</f>
        <v>South</v>
      </c>
      <c r="N57" s="1" t="s">
        <v>21</v>
      </c>
      <c r="Q57" s="1" t="s">
        <v>19</v>
      </c>
      <c r="R57" s="1" t="str">
        <f>IF(TRIM(sales_dataset[[#This Row],[ProductCategory]])="", R75, PROPER(TRIM(sales_dataset[[#This Row],[ProductCategory]])))</f>
        <v>Clothing</v>
      </c>
      <c r="T57" s="1" t="s">
        <v>19</v>
      </c>
      <c r="V57">
        <v>4</v>
      </c>
      <c r="W57" t="str">
        <f>IF(TRIM(sales_dataset[[#This Row],[Quantity]])="",V63,PROPER(TRIM(sales_dataset[[#This Row],[Quantity]])))</f>
        <v>4</v>
      </c>
      <c r="Y57">
        <v>2000</v>
      </c>
      <c r="Z57" t="str">
        <f>IF(TRIM(sales_dataset[[#This Row],[UnitPrice]])="",Y59,PROPER(TRIM(sales_dataset[[#This Row],[UnitPrice]])))</f>
        <v>2000</v>
      </c>
      <c r="AB57">
        <v>8000</v>
      </c>
      <c r="AC57" s="1" t="str">
        <f>IF(TRIM(sales_dataset[[#This Row],[TotalRevenue]])="",AB59,PROPER(TRIM(sales_dataset[[#This Row],[TotalRevenue]])))</f>
        <v>8000</v>
      </c>
      <c r="AD57" s="1">
        <f>ABS(sales_dataset[[#This Row],[Column5]])</f>
        <v>8000</v>
      </c>
      <c r="AE57" s="1">
        <f>sales_dataset[[#This Row],[Column17]]*sales_dataset[[#This Row],[Column16]]</f>
        <v>0</v>
      </c>
    </row>
    <row r="58" spans="3:31" x14ac:dyDescent="0.3">
      <c r="C58" s="1" t="s">
        <v>35</v>
      </c>
      <c r="F58" s="1" t="s">
        <v>60</v>
      </c>
      <c r="H58" s="1" t="s">
        <v>79</v>
      </c>
      <c r="J58" s="1" t="s">
        <v>80</v>
      </c>
      <c r="K58" s="1" t="str">
        <f>IF(TRIM(sales_dataset[[#This Row],[Region]])="", J60, PROPER(TRIM(sales_dataset[[#This Row],[Region]])))</f>
        <v>East</v>
      </c>
      <c r="N58" s="1" t="s">
        <v>39</v>
      </c>
      <c r="Q58" s="1" t="s">
        <v>41</v>
      </c>
      <c r="R58" s="1" t="str">
        <f>IF(TRIM(sales_dataset[[#This Row],[ProductCategory]])="", R76, PROPER(TRIM(sales_dataset[[#This Row],[ProductCategory]])))</f>
        <v>Home</v>
      </c>
      <c r="T58" s="1" t="s">
        <v>87</v>
      </c>
      <c r="V58">
        <v>4</v>
      </c>
      <c r="W58" t="str">
        <f>IF(TRIM(sales_dataset[[#This Row],[Quantity]])="",V64,PROPER(TRIM(sales_dataset[[#This Row],[Quantity]])))</f>
        <v>4</v>
      </c>
      <c r="Y58">
        <v>-100</v>
      </c>
      <c r="Z58" t="str">
        <f>IF(TRIM(sales_dataset[[#This Row],[UnitPrice]])="",Y60,PROPER(TRIM(sales_dataset[[#This Row],[UnitPrice]])))</f>
        <v>-100</v>
      </c>
      <c r="AB58">
        <v>-400</v>
      </c>
      <c r="AC58" s="1" t="str">
        <f>IF(TRIM(sales_dataset[[#This Row],[TotalRevenue]])="",AB60,PROPER(TRIM(sales_dataset[[#This Row],[TotalRevenue]])))</f>
        <v>-400</v>
      </c>
      <c r="AD58" s="1">
        <f>ABS(sales_dataset[[#This Row],[Column5]])</f>
        <v>400</v>
      </c>
      <c r="AE58" s="1">
        <f>sales_dataset[[#This Row],[Column17]]*sales_dataset[[#This Row],[Column16]]</f>
        <v>0</v>
      </c>
    </row>
    <row r="59" spans="3:31" x14ac:dyDescent="0.3">
      <c r="C59" s="1" t="s">
        <v>43</v>
      </c>
      <c r="F59" s="1" t="s">
        <v>53</v>
      </c>
      <c r="H59" s="1" t="s">
        <v>73</v>
      </c>
      <c r="J59" s="1" t="s">
        <v>66</v>
      </c>
      <c r="K59" s="1" t="str">
        <f>IF(TRIM(sales_dataset[[#This Row],[Region]])="", J61, PROPER(TRIM(sales_dataset[[#This Row],[Region]])))</f>
        <v>West</v>
      </c>
      <c r="N59" s="1" t="s">
        <v>19</v>
      </c>
      <c r="Q59" s="1" t="s">
        <v>19</v>
      </c>
      <c r="R59" s="1" t="str">
        <f>IF(TRIM(sales_dataset[[#This Row],[ProductCategory]])="", R77, PROPER(TRIM(sales_dataset[[#This Row],[ProductCategory]])))</f>
        <v>Electronics</v>
      </c>
      <c r="T59" s="1" t="s">
        <v>87</v>
      </c>
      <c r="V59">
        <v>4</v>
      </c>
      <c r="W59" t="str">
        <f>IF(TRIM(sales_dataset[[#This Row],[Quantity]])="",V65,PROPER(TRIM(sales_dataset[[#This Row],[Quantity]])))</f>
        <v>4</v>
      </c>
      <c r="Y59">
        <v>500</v>
      </c>
      <c r="Z59" t="str">
        <f>IF(TRIM(sales_dataset[[#This Row],[UnitPrice]])="",Y61,PROPER(TRIM(sales_dataset[[#This Row],[UnitPrice]])))</f>
        <v>500</v>
      </c>
      <c r="AB59">
        <v>2000</v>
      </c>
      <c r="AC59" s="1" t="str">
        <f>IF(TRIM(sales_dataset[[#This Row],[TotalRevenue]])="",AB61,PROPER(TRIM(sales_dataset[[#This Row],[TotalRevenue]])))</f>
        <v>2000</v>
      </c>
      <c r="AD59" s="1">
        <f>ABS(sales_dataset[[#This Row],[Column5]])</f>
        <v>2000</v>
      </c>
      <c r="AE59" s="1">
        <f>sales_dataset[[#This Row],[Column17]]*sales_dataset[[#This Row],[Column16]]</f>
        <v>0</v>
      </c>
    </row>
    <row r="60" spans="3:31" x14ac:dyDescent="0.3">
      <c r="C60" s="1" t="s">
        <v>51</v>
      </c>
      <c r="F60" s="1" t="s">
        <v>118</v>
      </c>
      <c r="H60" s="1" t="s">
        <v>147</v>
      </c>
      <c r="J60" s="1" t="s">
        <v>98</v>
      </c>
      <c r="K60" s="1" t="str">
        <f>IF(TRIM(sales_dataset[[#This Row],[Region]])="", J62, PROPER(TRIM(sales_dataset[[#This Row],[Region]])))</f>
        <v>South</v>
      </c>
      <c r="N60" s="1" t="s">
        <v>48</v>
      </c>
      <c r="Q60" s="1" t="s">
        <v>32</v>
      </c>
      <c r="R60" s="1" t="str">
        <f>IF(TRIM(sales_dataset[[#This Row],[ProductCategory]])="", R78, PROPER(TRIM(sales_dataset[[#This Row],[ProductCategory]])))</f>
        <v>Electronics</v>
      </c>
      <c r="T60" s="1" t="s">
        <v>95</v>
      </c>
      <c r="V60">
        <v>4</v>
      </c>
      <c r="W60" t="str">
        <f>IF(TRIM(sales_dataset[[#This Row],[Quantity]])="",V66,PROPER(TRIM(sales_dataset[[#This Row],[Quantity]])))</f>
        <v>4</v>
      </c>
      <c r="Y60">
        <v>2000</v>
      </c>
      <c r="Z60" t="str">
        <f>IF(TRIM(sales_dataset[[#This Row],[UnitPrice]])="",Y62,PROPER(TRIM(sales_dataset[[#This Row],[UnitPrice]])))</f>
        <v>2000</v>
      </c>
      <c r="AB60">
        <v>8000</v>
      </c>
      <c r="AC60" s="1" t="str">
        <f>IF(TRIM(sales_dataset[[#This Row],[TotalRevenue]])="",AB62,PROPER(TRIM(sales_dataset[[#This Row],[TotalRevenue]])))</f>
        <v>8000</v>
      </c>
      <c r="AD60" s="1">
        <f>ABS(sales_dataset[[#This Row],[Column5]])</f>
        <v>8000</v>
      </c>
      <c r="AE60" s="1">
        <f>sales_dataset[[#This Row],[Column17]]*sales_dataset[[#This Row],[Column16]]</f>
        <v>0</v>
      </c>
    </row>
    <row r="61" spans="3:31" x14ac:dyDescent="0.3">
      <c r="C61" s="1" t="s">
        <v>19</v>
      </c>
      <c r="F61" s="1" t="s">
        <v>19</v>
      </c>
      <c r="H61" s="1" t="s">
        <v>79</v>
      </c>
      <c r="J61" s="1" t="s">
        <v>80</v>
      </c>
      <c r="K61" s="1" t="str">
        <f>IF(TRIM(sales_dataset[[#This Row],[Region]])="", J63, PROPER(TRIM(sales_dataset[[#This Row],[Region]])))</f>
        <v>East</v>
      </c>
      <c r="N61" s="1" t="s">
        <v>21</v>
      </c>
      <c r="Q61" s="1" t="s">
        <v>32</v>
      </c>
      <c r="R61" s="1" t="str">
        <f>IF(TRIM(sales_dataset[[#This Row],[ProductCategory]])="", R79, PROPER(TRIM(sales_dataset[[#This Row],[ProductCategory]])))</f>
        <v>Electronics</v>
      </c>
      <c r="T61" s="1" t="s">
        <v>76</v>
      </c>
      <c r="V61">
        <v>1</v>
      </c>
      <c r="W61" t="str">
        <f>IF(TRIM(sales_dataset[[#This Row],[Quantity]])="",V67,PROPER(TRIM(sales_dataset[[#This Row],[Quantity]])))</f>
        <v>1</v>
      </c>
      <c r="Z61">
        <f>IF(TRIM(sales_dataset[[#This Row],[UnitPrice]])="",Y63,PROPER(TRIM(sales_dataset[[#This Row],[UnitPrice]])))</f>
        <v>0</v>
      </c>
      <c r="AC61" s="1">
        <f>IF(TRIM(sales_dataset[[#This Row],[TotalRevenue]])="",AB63,PROPER(TRIM(sales_dataset[[#This Row],[TotalRevenue]])))</f>
        <v>0</v>
      </c>
      <c r="AD61" s="1">
        <f>ABS(sales_dataset[[#This Row],[Column5]])</f>
        <v>0</v>
      </c>
      <c r="AE61" s="1">
        <f>sales_dataset[[#This Row],[Column17]]*sales_dataset[[#This Row],[Column16]]</f>
        <v>0</v>
      </c>
    </row>
    <row r="62" spans="3:31" x14ac:dyDescent="0.3">
      <c r="C62" s="1" t="s">
        <v>16</v>
      </c>
      <c r="F62" s="1" t="s">
        <v>72</v>
      </c>
      <c r="H62" s="1" t="s">
        <v>147</v>
      </c>
      <c r="J62" s="1" t="s">
        <v>19</v>
      </c>
      <c r="K62" s="1" t="str">
        <f>IF(TRIM(sales_dataset[[#This Row],[Region]])="", J64, PROPER(TRIM(sales_dataset[[#This Row],[Region]])))</f>
        <v>West</v>
      </c>
      <c r="N62" s="1" t="s">
        <v>48</v>
      </c>
      <c r="Q62" s="1" t="s">
        <v>32</v>
      </c>
      <c r="R62" s="1" t="str">
        <f>IF(TRIM(sales_dataset[[#This Row],[ProductCategory]])="", R80, PROPER(TRIM(sales_dataset[[#This Row],[ProductCategory]])))</f>
        <v>Electronics</v>
      </c>
      <c r="T62" s="1" t="s">
        <v>69</v>
      </c>
      <c r="V62">
        <v>1</v>
      </c>
      <c r="W62" t="str">
        <f>IF(TRIM(sales_dataset[[#This Row],[Quantity]])="",V68,PROPER(TRIM(sales_dataset[[#This Row],[Quantity]])))</f>
        <v>1</v>
      </c>
      <c r="Y62">
        <v>2500</v>
      </c>
      <c r="Z62" t="str">
        <f>IF(TRIM(sales_dataset[[#This Row],[UnitPrice]])="",Y64,PROPER(TRIM(sales_dataset[[#This Row],[UnitPrice]])))</f>
        <v>2500</v>
      </c>
      <c r="AB62">
        <v>2500</v>
      </c>
      <c r="AC62" s="1" t="str">
        <f>IF(TRIM(sales_dataset[[#This Row],[TotalRevenue]])="",AB64,PROPER(TRIM(sales_dataset[[#This Row],[TotalRevenue]])))</f>
        <v>2500</v>
      </c>
      <c r="AD62" s="1">
        <f>ABS(sales_dataset[[#This Row],[Column5]])</f>
        <v>2500</v>
      </c>
      <c r="AE62" s="1">
        <f>sales_dataset[[#This Row],[Column17]]*sales_dataset[[#This Row],[Column16]]</f>
        <v>0</v>
      </c>
    </row>
    <row r="63" spans="3:31" x14ac:dyDescent="0.3">
      <c r="C63" s="1" t="s">
        <v>25</v>
      </c>
      <c r="F63" s="1" t="s">
        <v>53</v>
      </c>
      <c r="H63" s="1" t="s">
        <v>73</v>
      </c>
      <c r="J63" s="1" t="s">
        <v>37</v>
      </c>
      <c r="K63" s="1" t="str">
        <f>IF(TRIM(sales_dataset[[#This Row],[Region]])="", J65, PROPER(TRIM(sales_dataset[[#This Row],[Region]])))</f>
        <v>North</v>
      </c>
      <c r="N63" s="1" t="s">
        <v>48</v>
      </c>
      <c r="Q63" s="1" t="s">
        <v>82</v>
      </c>
      <c r="R63" s="1" t="str">
        <f>IF(TRIM(sales_dataset[[#This Row],[ProductCategory]])="", R81, PROPER(TRIM(sales_dataset[[#This Row],[ProductCategory]])))</f>
        <v>Electronics</v>
      </c>
      <c r="T63" s="1" t="s">
        <v>23</v>
      </c>
      <c r="V63">
        <v>5</v>
      </c>
      <c r="W63" t="str">
        <f>IF(TRIM(sales_dataset[[#This Row],[Quantity]])="",V69,PROPER(TRIM(sales_dataset[[#This Row],[Quantity]])))</f>
        <v>5</v>
      </c>
      <c r="Z63">
        <f>IF(TRIM(sales_dataset[[#This Row],[UnitPrice]])="",Y65,PROPER(TRIM(sales_dataset[[#This Row],[UnitPrice]])))</f>
        <v>-100</v>
      </c>
      <c r="AC63" s="1">
        <f>IF(TRIM(sales_dataset[[#This Row],[TotalRevenue]])="",AB65,PROPER(TRIM(sales_dataset[[#This Row],[TotalRevenue]])))</f>
        <v>0</v>
      </c>
      <c r="AD63" s="1">
        <f>ABS(sales_dataset[[#This Row],[Column5]])</f>
        <v>0</v>
      </c>
      <c r="AE63" s="1">
        <f>sales_dataset[[#This Row],[Column17]]*sales_dataset[[#This Row],[Column16]]</f>
        <v>0</v>
      </c>
    </row>
    <row r="64" spans="3:31" x14ac:dyDescent="0.3">
      <c r="C64" s="1" t="s">
        <v>35</v>
      </c>
      <c r="F64" s="1" t="s">
        <v>72</v>
      </c>
      <c r="H64" s="1" t="s">
        <v>73</v>
      </c>
      <c r="J64" s="1" t="s">
        <v>66</v>
      </c>
      <c r="K64" s="1" t="str">
        <f>IF(TRIM(sales_dataset[[#This Row],[Region]])="", J66, PROPER(TRIM(sales_dataset[[#This Row],[Region]])))</f>
        <v>West</v>
      </c>
      <c r="N64" s="1" t="s">
        <v>19</v>
      </c>
      <c r="Q64" s="1" t="s">
        <v>19</v>
      </c>
      <c r="R64" s="1" t="str">
        <f>IF(TRIM(sales_dataset[[#This Row],[ProductCategory]])="", R82, PROPER(TRIM(sales_dataset[[#This Row],[ProductCategory]])))</f>
        <v>Clothing</v>
      </c>
      <c r="T64" s="1" t="s">
        <v>23</v>
      </c>
      <c r="V64">
        <v>2</v>
      </c>
      <c r="W64" t="str">
        <f>IF(TRIM(sales_dataset[[#This Row],[Quantity]])="",V70,PROPER(TRIM(sales_dataset[[#This Row],[Quantity]])))</f>
        <v>2</v>
      </c>
      <c r="Z64">
        <f>IF(TRIM(sales_dataset[[#This Row],[UnitPrice]])="",Y66,PROPER(TRIM(sales_dataset[[#This Row],[UnitPrice]])))</f>
        <v>-100</v>
      </c>
      <c r="AC64" s="1">
        <f>IF(TRIM(sales_dataset[[#This Row],[TotalRevenue]])="",AB66,PROPER(TRIM(sales_dataset[[#This Row],[TotalRevenue]])))</f>
        <v>-300</v>
      </c>
      <c r="AD64" s="1">
        <f>ABS(sales_dataset[[#This Row],[Column5]])</f>
        <v>300</v>
      </c>
      <c r="AE64" s="1">
        <f>sales_dataset[[#This Row],[Column17]]*sales_dataset[[#This Row],[Column16]]</f>
        <v>0</v>
      </c>
    </row>
    <row r="65" spans="3:31" x14ac:dyDescent="0.3">
      <c r="C65" s="1" t="s">
        <v>43</v>
      </c>
      <c r="F65" s="1" t="s">
        <v>18</v>
      </c>
      <c r="H65" s="1" t="s">
        <v>54</v>
      </c>
      <c r="J65" s="1" t="s">
        <v>66</v>
      </c>
      <c r="K65" s="1" t="str">
        <f>IF(TRIM(sales_dataset[[#This Row],[Region]])="", J67, PROPER(TRIM(sales_dataset[[#This Row],[Region]])))</f>
        <v>West</v>
      </c>
      <c r="N65" s="1" t="s">
        <v>21</v>
      </c>
      <c r="Q65" s="1" t="s">
        <v>19</v>
      </c>
      <c r="R65" s="1" t="str">
        <f>IF(TRIM(sales_dataset[[#This Row],[ProductCategory]])="", R83, PROPER(TRIM(sales_dataset[[#This Row],[ProductCategory]])))</f>
        <v>Electronics</v>
      </c>
      <c r="T65" s="1" t="s">
        <v>69</v>
      </c>
      <c r="W65">
        <f>IF(TRIM(sales_dataset[[#This Row],[Quantity]])="",V71,PROPER(TRIM(sales_dataset[[#This Row],[Quantity]])))</f>
        <v>5</v>
      </c>
      <c r="Y65">
        <v>-100</v>
      </c>
      <c r="Z65" t="str">
        <f>IF(TRIM(sales_dataset[[#This Row],[UnitPrice]])="",Y67,PROPER(TRIM(sales_dataset[[#This Row],[UnitPrice]])))</f>
        <v>-100</v>
      </c>
      <c r="AC65" s="1">
        <f>IF(TRIM(sales_dataset[[#This Row],[TotalRevenue]])="",AB67,PROPER(TRIM(sales_dataset[[#This Row],[TotalRevenue]])))</f>
        <v>2500</v>
      </c>
      <c r="AD65" s="1">
        <f>ABS(sales_dataset[[#This Row],[Column5]])</f>
        <v>2500</v>
      </c>
      <c r="AE65" s="1">
        <f>sales_dataset[[#This Row],[Column17]]*sales_dataset[[#This Row],[Column16]]</f>
        <v>0</v>
      </c>
    </row>
    <row r="66" spans="3:31" x14ac:dyDescent="0.3">
      <c r="C66" s="1" t="s">
        <v>51</v>
      </c>
      <c r="F66" s="1" t="s">
        <v>118</v>
      </c>
      <c r="H66" s="1" t="s">
        <v>45</v>
      </c>
      <c r="J66" s="1" t="s">
        <v>80</v>
      </c>
      <c r="K66" s="1" t="str">
        <f>IF(TRIM(sales_dataset[[#This Row],[Region]])="", J68, PROPER(TRIM(sales_dataset[[#This Row],[Region]])))</f>
        <v>East</v>
      </c>
      <c r="N66" s="1" t="s">
        <v>39</v>
      </c>
      <c r="Q66" s="1" t="s">
        <v>19</v>
      </c>
      <c r="R66" s="1" t="str">
        <f>IF(TRIM(sales_dataset[[#This Row],[ProductCategory]])="", R84, PROPER(TRIM(sales_dataset[[#This Row],[ProductCategory]])))</f>
        <v>Clothing</v>
      </c>
      <c r="T66" s="1" t="s">
        <v>69</v>
      </c>
      <c r="V66">
        <v>3</v>
      </c>
      <c r="W66" t="str">
        <f>IF(TRIM(sales_dataset[[#This Row],[Quantity]])="",V72,PROPER(TRIM(sales_dataset[[#This Row],[Quantity]])))</f>
        <v>3</v>
      </c>
      <c r="Y66">
        <v>-100</v>
      </c>
      <c r="Z66" t="str">
        <f>IF(TRIM(sales_dataset[[#This Row],[UnitPrice]])="",Y68,PROPER(TRIM(sales_dataset[[#This Row],[UnitPrice]])))</f>
        <v>-100</v>
      </c>
      <c r="AB66">
        <v>-300</v>
      </c>
      <c r="AC66" s="1" t="str">
        <f>IF(TRIM(sales_dataset[[#This Row],[TotalRevenue]])="",AB68,PROPER(TRIM(sales_dataset[[#This Row],[TotalRevenue]])))</f>
        <v>-300</v>
      </c>
      <c r="AD66" s="1">
        <f>ABS(sales_dataset[[#This Row],[Column5]])</f>
        <v>300</v>
      </c>
      <c r="AE66" s="1">
        <f>sales_dataset[[#This Row],[Column17]]*sales_dataset[[#This Row],[Column16]]</f>
        <v>0</v>
      </c>
    </row>
    <row r="67" spans="3:31" x14ac:dyDescent="0.3">
      <c r="C67" s="1" t="s">
        <v>19</v>
      </c>
      <c r="F67" s="1" t="s">
        <v>60</v>
      </c>
      <c r="H67" s="1" t="s">
        <v>28</v>
      </c>
      <c r="J67" s="1" t="s">
        <v>66</v>
      </c>
      <c r="K67" s="1" t="str">
        <f>IF(TRIM(sales_dataset[[#This Row],[Region]])="", J69, PROPER(TRIM(sales_dataset[[#This Row],[Region]])))</f>
        <v>West</v>
      </c>
      <c r="N67" s="1" t="s">
        <v>21</v>
      </c>
      <c r="Q67" s="1" t="s">
        <v>63</v>
      </c>
      <c r="R67" s="1" t="str">
        <f>IF(TRIM(sales_dataset[[#This Row],[ProductCategory]])="", R85, PROPER(TRIM(sales_dataset[[#This Row],[ProductCategory]])))</f>
        <v>Clothing</v>
      </c>
      <c r="T67" s="1" t="s">
        <v>87</v>
      </c>
      <c r="V67">
        <v>1</v>
      </c>
      <c r="W67" t="str">
        <f>IF(TRIM(sales_dataset[[#This Row],[Quantity]])="",V73,PROPER(TRIM(sales_dataset[[#This Row],[Quantity]])))</f>
        <v>1</v>
      </c>
      <c r="Y67">
        <v>2500</v>
      </c>
      <c r="Z67" t="str">
        <f>IF(TRIM(sales_dataset[[#This Row],[UnitPrice]])="",Y69,PROPER(TRIM(sales_dataset[[#This Row],[UnitPrice]])))</f>
        <v>2500</v>
      </c>
      <c r="AB67">
        <v>2500</v>
      </c>
      <c r="AC67" s="1" t="str">
        <f>IF(TRIM(sales_dataset[[#This Row],[TotalRevenue]])="",AB69,PROPER(TRIM(sales_dataset[[#This Row],[TotalRevenue]])))</f>
        <v>2500</v>
      </c>
      <c r="AD67" s="1">
        <f>ABS(sales_dataset[[#This Row],[Column5]])</f>
        <v>2500</v>
      </c>
      <c r="AE67" s="1">
        <f>sales_dataset[[#This Row],[Column17]]*sales_dataset[[#This Row],[Column16]]</f>
        <v>0</v>
      </c>
    </row>
    <row r="68" spans="3:31" x14ac:dyDescent="0.3">
      <c r="C68" s="1" t="s">
        <v>16</v>
      </c>
      <c r="F68" s="1" t="s">
        <v>118</v>
      </c>
      <c r="H68" s="1" t="s">
        <v>73</v>
      </c>
      <c r="J68" s="1" t="s">
        <v>37</v>
      </c>
      <c r="K68" s="1" t="str">
        <f>IF(TRIM(sales_dataset[[#This Row],[Region]])="", J70, PROPER(TRIM(sales_dataset[[#This Row],[Region]])))</f>
        <v>North</v>
      </c>
      <c r="N68" s="1" t="s">
        <v>39</v>
      </c>
      <c r="Q68" s="1" t="s">
        <v>41</v>
      </c>
      <c r="R68" s="1" t="str">
        <f>IF(TRIM(sales_dataset[[#This Row],[ProductCategory]])="", R86, PROPER(TRIM(sales_dataset[[#This Row],[ProductCategory]])))</f>
        <v>Home</v>
      </c>
      <c r="T68" s="1" t="s">
        <v>33</v>
      </c>
      <c r="V68">
        <v>3</v>
      </c>
      <c r="W68" t="str">
        <f>IF(TRIM(sales_dataset[[#This Row],[Quantity]])="",V74,PROPER(TRIM(sales_dataset[[#This Row],[Quantity]])))</f>
        <v>3</v>
      </c>
      <c r="Y68">
        <v>-100</v>
      </c>
      <c r="Z68" t="str">
        <f>IF(TRIM(sales_dataset[[#This Row],[UnitPrice]])="",Y70,PROPER(TRIM(sales_dataset[[#This Row],[UnitPrice]])))</f>
        <v>-100</v>
      </c>
      <c r="AB68">
        <v>-300</v>
      </c>
      <c r="AC68" s="1" t="str">
        <f>IF(TRIM(sales_dataset[[#This Row],[TotalRevenue]])="",AB70,PROPER(TRIM(sales_dataset[[#This Row],[TotalRevenue]])))</f>
        <v>-300</v>
      </c>
      <c r="AD68" s="1">
        <f>ABS(sales_dataset[[#This Row],[Column5]])</f>
        <v>300</v>
      </c>
      <c r="AE68" s="1">
        <f>sales_dataset[[#This Row],[Column17]]*sales_dataset[[#This Row],[Column16]]</f>
        <v>0</v>
      </c>
    </row>
    <row r="69" spans="3:31" x14ac:dyDescent="0.3">
      <c r="C69" s="1" t="s">
        <v>25</v>
      </c>
      <c r="F69" s="1" t="s">
        <v>27</v>
      </c>
      <c r="H69" s="1" t="s">
        <v>28</v>
      </c>
      <c r="J69" s="1" t="s">
        <v>37</v>
      </c>
      <c r="K69" s="1" t="str">
        <f>IF(TRIM(sales_dataset[[#This Row],[Region]])="", J71, PROPER(TRIM(sales_dataset[[#This Row],[Region]])))</f>
        <v>North</v>
      </c>
      <c r="N69" s="1" t="s">
        <v>19</v>
      </c>
      <c r="Q69" s="1" t="s">
        <v>82</v>
      </c>
      <c r="R69" s="1" t="str">
        <f>IF(TRIM(sales_dataset[[#This Row],[ProductCategory]])="", R87, PROPER(TRIM(sales_dataset[[#This Row],[ProductCategory]])))</f>
        <v>Electronics</v>
      </c>
      <c r="T69" s="1" t="s">
        <v>23</v>
      </c>
      <c r="V69">
        <v>-1</v>
      </c>
      <c r="W69" t="str">
        <f>IF(TRIM(sales_dataset[[#This Row],[Quantity]])="",V75,PROPER(TRIM(sales_dataset[[#This Row],[Quantity]])))</f>
        <v>-1</v>
      </c>
      <c r="Y69">
        <v>-100</v>
      </c>
      <c r="Z69" t="str">
        <f>IF(TRIM(sales_dataset[[#This Row],[UnitPrice]])="",Y71,PROPER(TRIM(sales_dataset[[#This Row],[UnitPrice]])))</f>
        <v>-100</v>
      </c>
      <c r="AB69">
        <v>100</v>
      </c>
      <c r="AC69" s="1" t="str">
        <f>IF(TRIM(sales_dataset[[#This Row],[TotalRevenue]])="",AB71,PROPER(TRIM(sales_dataset[[#This Row],[TotalRevenue]])))</f>
        <v>100</v>
      </c>
      <c r="AD69" s="1">
        <f>ABS(sales_dataset[[#This Row],[Column5]])</f>
        <v>100</v>
      </c>
      <c r="AE69" s="1">
        <f>sales_dataset[[#This Row],[Column17]]*sales_dataset[[#This Row],[Column16]]</f>
        <v>0</v>
      </c>
    </row>
    <row r="70" spans="3:31" x14ac:dyDescent="0.3">
      <c r="C70" s="1" t="s">
        <v>35</v>
      </c>
      <c r="F70" s="1" t="s">
        <v>60</v>
      </c>
      <c r="H70" s="1" t="s">
        <v>54</v>
      </c>
      <c r="J70" s="1" t="s">
        <v>66</v>
      </c>
      <c r="K70" s="1" t="str">
        <f>IF(TRIM(sales_dataset[[#This Row],[Region]])="", J72, PROPER(TRIM(sales_dataset[[#This Row],[Region]])))</f>
        <v>West</v>
      </c>
      <c r="N70" s="1" t="s">
        <v>48</v>
      </c>
      <c r="Q70" s="1" t="s">
        <v>41</v>
      </c>
      <c r="R70" s="1" t="str">
        <f>IF(TRIM(sales_dataset[[#This Row],[ProductCategory]])="", R88, PROPER(TRIM(sales_dataset[[#This Row],[ProductCategory]])))</f>
        <v>Home</v>
      </c>
      <c r="T70" s="1" t="s">
        <v>76</v>
      </c>
      <c r="V70">
        <v>-1</v>
      </c>
      <c r="W70" t="str">
        <f>IF(TRIM(sales_dataset[[#This Row],[Quantity]])="",V76,PROPER(TRIM(sales_dataset[[#This Row],[Quantity]])))</f>
        <v>-1</v>
      </c>
      <c r="Z70">
        <f>IF(TRIM(sales_dataset[[#This Row],[UnitPrice]])="",Y72,PROPER(TRIM(sales_dataset[[#This Row],[UnitPrice]])))</f>
        <v>2500</v>
      </c>
      <c r="AC70" s="1">
        <f>IF(TRIM(sales_dataset[[#This Row],[TotalRevenue]])="",AB72,PROPER(TRIM(sales_dataset[[#This Row],[TotalRevenue]])))</f>
        <v>2500</v>
      </c>
      <c r="AD70" s="1">
        <f>ABS(sales_dataset[[#This Row],[Column5]])</f>
        <v>2500</v>
      </c>
      <c r="AE70" s="1">
        <f>sales_dataset[[#This Row],[Column17]]*sales_dataset[[#This Row],[Column16]]</f>
        <v>0</v>
      </c>
    </row>
    <row r="71" spans="3:31" x14ac:dyDescent="0.3">
      <c r="C71" s="1" t="s">
        <v>43</v>
      </c>
      <c r="F71" s="1" t="s">
        <v>72</v>
      </c>
      <c r="H71" s="1" t="s">
        <v>45</v>
      </c>
      <c r="J71" s="1" t="s">
        <v>98</v>
      </c>
      <c r="K71" s="1" t="str">
        <f>IF(TRIM(sales_dataset[[#This Row],[Region]])="", J73, PROPER(TRIM(sales_dataset[[#This Row],[Region]])))</f>
        <v>South</v>
      </c>
      <c r="N71" s="1" t="s">
        <v>39</v>
      </c>
      <c r="Q71" s="1" t="s">
        <v>82</v>
      </c>
      <c r="R71" s="1" t="str">
        <f>IF(TRIM(sales_dataset[[#This Row],[ProductCategory]])="", R89, PROPER(TRIM(sales_dataset[[#This Row],[ProductCategory]])))</f>
        <v>Electronics</v>
      </c>
      <c r="T71" s="1" t="s">
        <v>19</v>
      </c>
      <c r="V71">
        <v>5</v>
      </c>
      <c r="W71" t="str">
        <f>IF(TRIM(sales_dataset[[#This Row],[Quantity]])="",V77,PROPER(TRIM(sales_dataset[[#This Row],[Quantity]])))</f>
        <v>5</v>
      </c>
      <c r="Y71">
        <v>2000</v>
      </c>
      <c r="Z71" t="str">
        <f>IF(TRIM(sales_dataset[[#This Row],[UnitPrice]])="",Y73,PROPER(TRIM(sales_dataset[[#This Row],[UnitPrice]])))</f>
        <v>2000</v>
      </c>
      <c r="AB71">
        <v>5000</v>
      </c>
      <c r="AC71" s="1" t="str">
        <f>IF(TRIM(sales_dataset[[#This Row],[TotalRevenue]])="",AB73,PROPER(TRIM(sales_dataset[[#This Row],[TotalRevenue]])))</f>
        <v>5000</v>
      </c>
      <c r="AD71" s="1">
        <f>ABS(sales_dataset[[#This Row],[Column5]])</f>
        <v>5000</v>
      </c>
      <c r="AE71" s="1">
        <f>sales_dataset[[#This Row],[Column17]]*sales_dataset[[#This Row],[Column16]]</f>
        <v>0</v>
      </c>
    </row>
    <row r="72" spans="3:31" x14ac:dyDescent="0.3">
      <c r="C72" s="1" t="s">
        <v>51</v>
      </c>
      <c r="F72" s="1" t="s">
        <v>19</v>
      </c>
      <c r="H72" s="1" t="s">
        <v>79</v>
      </c>
      <c r="J72" s="1" t="s">
        <v>98</v>
      </c>
      <c r="K72" s="1" t="str">
        <f>IF(TRIM(sales_dataset[[#This Row],[Region]])="", J74, PROPER(TRIM(sales_dataset[[#This Row],[Region]])))</f>
        <v>South</v>
      </c>
      <c r="N72" s="1" t="s">
        <v>56</v>
      </c>
      <c r="Q72" s="1" t="s">
        <v>19</v>
      </c>
      <c r="R72" s="1" t="str">
        <f>IF(TRIM(sales_dataset[[#This Row],[ProductCategory]])="", R90, PROPER(TRIM(sales_dataset[[#This Row],[ProductCategory]])))</f>
        <v>Electronics</v>
      </c>
      <c r="T72" s="1" t="s">
        <v>23</v>
      </c>
      <c r="V72">
        <v>2</v>
      </c>
      <c r="W72" t="str">
        <f>IF(TRIM(sales_dataset[[#This Row],[Quantity]])="",V78,PROPER(TRIM(sales_dataset[[#This Row],[Quantity]])))</f>
        <v>2</v>
      </c>
      <c r="Y72">
        <v>2500</v>
      </c>
      <c r="Z72" t="str">
        <f>IF(TRIM(sales_dataset[[#This Row],[UnitPrice]])="",Y74,PROPER(TRIM(sales_dataset[[#This Row],[UnitPrice]])))</f>
        <v>2500</v>
      </c>
      <c r="AB72">
        <v>2500</v>
      </c>
      <c r="AC72" s="1" t="str">
        <f>IF(TRIM(sales_dataset[[#This Row],[TotalRevenue]])="",AB74,PROPER(TRIM(sales_dataset[[#This Row],[TotalRevenue]])))</f>
        <v>2500</v>
      </c>
      <c r="AD72" s="1">
        <f>ABS(sales_dataset[[#This Row],[Column5]])</f>
        <v>2500</v>
      </c>
      <c r="AE72" s="1">
        <f>sales_dataset[[#This Row],[Column17]]*sales_dataset[[#This Row],[Column16]]</f>
        <v>0</v>
      </c>
    </row>
    <row r="73" spans="3:31" x14ac:dyDescent="0.3">
      <c r="C73" s="1" t="s">
        <v>19</v>
      </c>
      <c r="F73" s="1" t="s">
        <v>60</v>
      </c>
      <c r="H73" s="1" t="s">
        <v>45</v>
      </c>
      <c r="J73" s="1" t="s">
        <v>37</v>
      </c>
      <c r="K73" s="1" t="str">
        <f>IF(TRIM(sales_dataset[[#This Row],[Region]])="", J75, PROPER(TRIM(sales_dataset[[#This Row],[Region]])))</f>
        <v>North</v>
      </c>
      <c r="N73" s="1" t="s">
        <v>21</v>
      </c>
      <c r="Q73" s="1" t="s">
        <v>63</v>
      </c>
      <c r="R73" s="1" t="str">
        <f>IF(TRIM(sales_dataset[[#This Row],[ProductCategory]])="", R91, PROPER(TRIM(sales_dataset[[#This Row],[ProductCategory]])))</f>
        <v>Clothing</v>
      </c>
      <c r="T73" s="1" t="s">
        <v>33</v>
      </c>
      <c r="V73">
        <v>1</v>
      </c>
      <c r="W73" t="str">
        <f>IF(TRIM(sales_dataset[[#This Row],[Quantity]])="",V79,PROPER(TRIM(sales_dataset[[#This Row],[Quantity]])))</f>
        <v>1</v>
      </c>
      <c r="Y73">
        <v>500</v>
      </c>
      <c r="Z73" t="str">
        <f>IF(TRIM(sales_dataset[[#This Row],[UnitPrice]])="",Y75,PROPER(TRIM(sales_dataset[[#This Row],[UnitPrice]])))</f>
        <v>500</v>
      </c>
      <c r="AB73">
        <v>500</v>
      </c>
      <c r="AC73" s="1" t="str">
        <f>IF(TRIM(sales_dataset[[#This Row],[TotalRevenue]])="",AB75,PROPER(TRIM(sales_dataset[[#This Row],[TotalRevenue]])))</f>
        <v>500</v>
      </c>
      <c r="AD73" s="1">
        <f>ABS(sales_dataset[[#This Row],[Column5]])</f>
        <v>500</v>
      </c>
      <c r="AE73" s="1">
        <f>sales_dataset[[#This Row],[Column17]]*sales_dataset[[#This Row],[Column16]]</f>
        <v>0</v>
      </c>
    </row>
    <row r="74" spans="3:31" x14ac:dyDescent="0.3">
      <c r="C74" s="1" t="s">
        <v>16</v>
      </c>
      <c r="F74" s="1" t="s">
        <v>27</v>
      </c>
      <c r="H74" s="1" t="s">
        <v>45</v>
      </c>
      <c r="J74" s="1" t="s">
        <v>98</v>
      </c>
      <c r="K74" s="1" t="str">
        <f>IF(TRIM(sales_dataset[[#This Row],[Region]])="", J76, PROPER(TRIM(sales_dataset[[#This Row],[Region]])))</f>
        <v>South</v>
      </c>
      <c r="N74" s="1" t="s">
        <v>21</v>
      </c>
      <c r="Q74" s="1" t="s">
        <v>63</v>
      </c>
      <c r="R74" s="1" t="str">
        <f>IF(TRIM(sales_dataset[[#This Row],[ProductCategory]])="", R92, PROPER(TRIM(sales_dataset[[#This Row],[ProductCategory]])))</f>
        <v>Clothing</v>
      </c>
      <c r="T74" s="1" t="s">
        <v>19</v>
      </c>
      <c r="W74">
        <f>IF(TRIM(sales_dataset[[#This Row],[Quantity]])="",V80,PROPER(TRIM(sales_dataset[[#This Row],[Quantity]])))</f>
        <v>0</v>
      </c>
      <c r="Z74">
        <f>IF(TRIM(sales_dataset[[#This Row],[UnitPrice]])="",Y76,PROPER(TRIM(sales_dataset[[#This Row],[UnitPrice]])))</f>
        <v>500</v>
      </c>
      <c r="AC74" s="1">
        <f>IF(TRIM(sales_dataset[[#This Row],[TotalRevenue]])="",AB76,PROPER(TRIM(sales_dataset[[#This Row],[TotalRevenue]])))</f>
        <v>0</v>
      </c>
      <c r="AD74" s="1">
        <f>ABS(sales_dataset[[#This Row],[Column5]])</f>
        <v>0</v>
      </c>
      <c r="AE74" s="1">
        <f>sales_dataset[[#This Row],[Column17]]*sales_dataset[[#This Row],[Column16]]</f>
        <v>0</v>
      </c>
    </row>
    <row r="75" spans="3:31" x14ac:dyDescent="0.3">
      <c r="C75" s="1" t="s">
        <v>25</v>
      </c>
      <c r="F75" s="1" t="s">
        <v>60</v>
      </c>
      <c r="H75" s="1" t="s">
        <v>79</v>
      </c>
      <c r="J75" s="1" t="s">
        <v>80</v>
      </c>
      <c r="K75" s="1" t="str">
        <f>IF(TRIM(sales_dataset[[#This Row],[Region]])="", J77, PROPER(TRIM(sales_dataset[[#This Row],[Region]])))</f>
        <v>East</v>
      </c>
      <c r="N75" s="1" t="s">
        <v>30</v>
      </c>
      <c r="Q75" s="1" t="s">
        <v>19</v>
      </c>
      <c r="R75" s="1" t="str">
        <f>IF(TRIM(sales_dataset[[#This Row],[ProductCategory]])="", R93, PROPER(TRIM(sales_dataset[[#This Row],[ProductCategory]])))</f>
        <v>Clothing</v>
      </c>
      <c r="T75" s="1" t="s">
        <v>76</v>
      </c>
      <c r="V75">
        <v>1</v>
      </c>
      <c r="W75" t="str">
        <f>IF(TRIM(sales_dataset[[#This Row],[Quantity]])="",V81,PROPER(TRIM(sales_dataset[[#This Row],[Quantity]])))</f>
        <v>1</v>
      </c>
      <c r="Y75">
        <v>500</v>
      </c>
      <c r="Z75" t="str">
        <f>IF(TRIM(sales_dataset[[#This Row],[UnitPrice]])="",Y77,PROPER(TRIM(sales_dataset[[#This Row],[UnitPrice]])))</f>
        <v>500</v>
      </c>
      <c r="AB75">
        <v>500</v>
      </c>
      <c r="AC75" s="1" t="str">
        <f>IF(TRIM(sales_dataset[[#This Row],[TotalRevenue]])="",AB77,PROPER(TRIM(sales_dataset[[#This Row],[TotalRevenue]])))</f>
        <v>500</v>
      </c>
      <c r="AD75" s="1">
        <f>ABS(sales_dataset[[#This Row],[Column5]])</f>
        <v>500</v>
      </c>
      <c r="AE75" s="1">
        <f>sales_dataset[[#This Row],[Column17]]*sales_dataset[[#This Row],[Column16]]</f>
        <v>0</v>
      </c>
    </row>
    <row r="76" spans="3:31" x14ac:dyDescent="0.3">
      <c r="C76" s="1" t="s">
        <v>35</v>
      </c>
      <c r="F76" s="1" t="s">
        <v>53</v>
      </c>
      <c r="H76" s="1" t="s">
        <v>54</v>
      </c>
      <c r="J76" s="1" t="s">
        <v>46</v>
      </c>
      <c r="K76" s="1" t="str">
        <f>IF(TRIM(sales_dataset[[#This Row],[Region]])="", J78, PROPER(TRIM(sales_dataset[[#This Row],[Region]])))</f>
        <v>North</v>
      </c>
      <c r="N76" s="1" t="s">
        <v>48</v>
      </c>
      <c r="Q76" s="1" t="s">
        <v>41</v>
      </c>
      <c r="R76" s="1" t="str">
        <f>IF(TRIM(sales_dataset[[#This Row],[ProductCategory]])="", R94, PROPER(TRIM(sales_dataset[[#This Row],[ProductCategory]])))</f>
        <v>Home</v>
      </c>
      <c r="T76" s="1" t="s">
        <v>76</v>
      </c>
      <c r="W76">
        <f>IF(TRIM(sales_dataset[[#This Row],[Quantity]])="",V82,PROPER(TRIM(sales_dataset[[#This Row],[Quantity]])))</f>
        <v>3</v>
      </c>
      <c r="Y76">
        <v>500</v>
      </c>
      <c r="Z76" t="str">
        <f>IF(TRIM(sales_dataset[[#This Row],[UnitPrice]])="",Y78,PROPER(TRIM(sales_dataset[[#This Row],[UnitPrice]])))</f>
        <v>500</v>
      </c>
      <c r="AC76" s="1">
        <f>IF(TRIM(sales_dataset[[#This Row],[TotalRevenue]])="",AB78,PROPER(TRIM(sales_dataset[[#This Row],[TotalRevenue]])))</f>
        <v>3000</v>
      </c>
      <c r="AD76" s="1">
        <f>ABS(sales_dataset[[#This Row],[Column5]])</f>
        <v>3000</v>
      </c>
      <c r="AE76" s="1">
        <f>sales_dataset[[#This Row],[Column17]]*sales_dataset[[#This Row],[Column16]]</f>
        <v>0</v>
      </c>
    </row>
    <row r="77" spans="3:31" x14ac:dyDescent="0.3">
      <c r="C77" s="1" t="s">
        <v>43</v>
      </c>
      <c r="F77" s="1" t="s">
        <v>19</v>
      </c>
      <c r="H77" s="1" t="s">
        <v>147</v>
      </c>
      <c r="J77" s="1" t="s">
        <v>19</v>
      </c>
      <c r="K77" s="1" t="str">
        <f>IF(TRIM(sales_dataset[[#This Row],[Region]])="", J79, PROPER(TRIM(sales_dataset[[#This Row],[Region]])))</f>
        <v>East</v>
      </c>
      <c r="N77" s="1" t="s">
        <v>48</v>
      </c>
      <c r="Q77" s="1" t="s">
        <v>32</v>
      </c>
      <c r="R77" s="1" t="str">
        <f>IF(TRIM(sales_dataset[[#This Row],[ProductCategory]])="", R95, PROPER(TRIM(sales_dataset[[#This Row],[ProductCategory]])))</f>
        <v>Electronics</v>
      </c>
      <c r="T77" s="1" t="s">
        <v>76</v>
      </c>
      <c r="W77">
        <f>IF(TRIM(sales_dataset[[#This Row],[Quantity]])="",V83,PROPER(TRIM(sales_dataset[[#This Row],[Quantity]])))</f>
        <v>2</v>
      </c>
      <c r="Y77">
        <v>2500</v>
      </c>
      <c r="Z77" t="str">
        <f>IF(TRIM(sales_dataset[[#This Row],[UnitPrice]])="",Y79,PROPER(TRIM(sales_dataset[[#This Row],[UnitPrice]])))</f>
        <v>2500</v>
      </c>
      <c r="AC77" s="1">
        <f>IF(TRIM(sales_dataset[[#This Row],[TotalRevenue]])="",AB79,PROPER(TRIM(sales_dataset[[#This Row],[TotalRevenue]])))</f>
        <v>500</v>
      </c>
      <c r="AD77" s="1">
        <f>ABS(sales_dataset[[#This Row],[Column5]])</f>
        <v>500</v>
      </c>
      <c r="AE77" s="1">
        <f>sales_dataset[[#This Row],[Column17]]*sales_dataset[[#This Row],[Column16]]</f>
        <v>0</v>
      </c>
    </row>
    <row r="78" spans="3:31" x14ac:dyDescent="0.3">
      <c r="C78" s="1" t="s">
        <v>51</v>
      </c>
      <c r="F78" s="1" t="s">
        <v>72</v>
      </c>
      <c r="H78" s="1" t="s">
        <v>45</v>
      </c>
      <c r="J78" s="1" t="s">
        <v>66</v>
      </c>
      <c r="K78" s="1" t="str">
        <f>IF(TRIM(sales_dataset[[#This Row],[Region]])="", J80, PROPER(TRIM(sales_dataset[[#This Row],[Region]])))</f>
        <v>West</v>
      </c>
      <c r="N78" s="1" t="s">
        <v>19</v>
      </c>
      <c r="Q78" s="1" t="s">
        <v>19</v>
      </c>
      <c r="R78" s="1" t="str">
        <f>IF(TRIM(sales_dataset[[#This Row],[ProductCategory]])="", R96, PROPER(TRIM(sales_dataset[[#This Row],[ProductCategory]])))</f>
        <v>Clothing</v>
      </c>
      <c r="T78" s="1" t="s">
        <v>87</v>
      </c>
      <c r="V78">
        <v>2</v>
      </c>
      <c r="W78" t="str">
        <f>IF(TRIM(sales_dataset[[#This Row],[Quantity]])="",V84,PROPER(TRIM(sales_dataset[[#This Row],[Quantity]])))</f>
        <v>2</v>
      </c>
      <c r="Y78">
        <v>1500</v>
      </c>
      <c r="Z78" t="str">
        <f>IF(TRIM(sales_dataset[[#This Row],[UnitPrice]])="",Y80,PROPER(TRIM(sales_dataset[[#This Row],[UnitPrice]])))</f>
        <v>1500</v>
      </c>
      <c r="AB78">
        <v>3000</v>
      </c>
      <c r="AC78" s="1" t="str">
        <f>IF(TRIM(sales_dataset[[#This Row],[TotalRevenue]])="",AB80,PROPER(TRIM(sales_dataset[[#This Row],[TotalRevenue]])))</f>
        <v>3000</v>
      </c>
      <c r="AD78" s="1">
        <f>ABS(sales_dataset[[#This Row],[Column5]])</f>
        <v>3000</v>
      </c>
      <c r="AE78" s="1">
        <f>sales_dataset[[#This Row],[Column17]]*sales_dataset[[#This Row],[Column16]]</f>
        <v>0</v>
      </c>
    </row>
    <row r="79" spans="3:31" x14ac:dyDescent="0.3">
      <c r="C79" s="1" t="s">
        <v>19</v>
      </c>
      <c r="F79" s="1" t="s">
        <v>27</v>
      </c>
      <c r="H79" s="1" t="s">
        <v>45</v>
      </c>
      <c r="J79" s="1" t="s">
        <v>80</v>
      </c>
      <c r="K79" s="1" t="str">
        <f>IF(TRIM(sales_dataset[[#This Row],[Region]])="", J81, PROPER(TRIM(sales_dataset[[#This Row],[Region]])))</f>
        <v>East</v>
      </c>
      <c r="N79" s="1" t="s">
        <v>39</v>
      </c>
      <c r="Q79" s="1" t="s">
        <v>82</v>
      </c>
      <c r="R79" s="1" t="str">
        <f>IF(TRIM(sales_dataset[[#This Row],[ProductCategory]])="", R97, PROPER(TRIM(sales_dataset[[#This Row],[ProductCategory]])))</f>
        <v>Electronics</v>
      </c>
      <c r="T79" s="1" t="s">
        <v>33</v>
      </c>
      <c r="V79">
        <v>2</v>
      </c>
      <c r="W79" t="str">
        <f>IF(TRIM(sales_dataset[[#This Row],[Quantity]])="",V85,PROPER(TRIM(sales_dataset[[#This Row],[Quantity]])))</f>
        <v>2</v>
      </c>
      <c r="Y79">
        <v>500</v>
      </c>
      <c r="Z79" t="str">
        <f>IF(TRIM(sales_dataset[[#This Row],[UnitPrice]])="",Y81,PROPER(TRIM(sales_dataset[[#This Row],[UnitPrice]])))</f>
        <v>500</v>
      </c>
      <c r="AB79">
        <v>500</v>
      </c>
      <c r="AC79" s="1" t="str">
        <f>IF(TRIM(sales_dataset[[#This Row],[TotalRevenue]])="",AB81,PROPER(TRIM(sales_dataset[[#This Row],[TotalRevenue]])))</f>
        <v>500</v>
      </c>
      <c r="AD79" s="1">
        <f>ABS(sales_dataset[[#This Row],[Column5]])</f>
        <v>500</v>
      </c>
      <c r="AE79" s="1">
        <f>sales_dataset[[#This Row],[Column17]]*sales_dataset[[#This Row],[Column16]]</f>
        <v>0</v>
      </c>
    </row>
    <row r="80" spans="3:31" x14ac:dyDescent="0.3">
      <c r="C80" s="1" t="s">
        <v>16</v>
      </c>
      <c r="F80" s="1" t="s">
        <v>53</v>
      </c>
      <c r="H80" s="1" t="s">
        <v>54</v>
      </c>
      <c r="J80" s="1" t="s">
        <v>37</v>
      </c>
      <c r="K80" s="1" t="str">
        <f>IF(TRIM(sales_dataset[[#This Row],[Region]])="", J82, PROPER(TRIM(sales_dataset[[#This Row],[Region]])))</f>
        <v>North</v>
      </c>
      <c r="N80" s="1" t="s">
        <v>19</v>
      </c>
      <c r="Q80" s="1" t="s">
        <v>41</v>
      </c>
      <c r="R80" s="1" t="str">
        <f>IF(TRIM(sales_dataset[[#This Row],[ProductCategory]])="", R98, PROPER(TRIM(sales_dataset[[#This Row],[ProductCategory]])))</f>
        <v>Home</v>
      </c>
      <c r="T80" s="1" t="s">
        <v>23</v>
      </c>
      <c r="W80">
        <f>IF(TRIM(sales_dataset[[#This Row],[Quantity]])="",V86,PROPER(TRIM(sales_dataset[[#This Row],[Quantity]])))</f>
        <v>5</v>
      </c>
      <c r="Y80">
        <v>-100</v>
      </c>
      <c r="Z80" t="str">
        <f>IF(TRIM(sales_dataset[[#This Row],[UnitPrice]])="",Y82,PROPER(TRIM(sales_dataset[[#This Row],[UnitPrice]])))</f>
        <v>-100</v>
      </c>
      <c r="AC80" s="1">
        <f>IF(TRIM(sales_dataset[[#This Row],[TotalRevenue]])="",AB82,PROPER(TRIM(sales_dataset[[#This Row],[TotalRevenue]])))</f>
        <v>2250</v>
      </c>
      <c r="AD80" s="1">
        <f>ABS(sales_dataset[[#This Row],[Column5]])</f>
        <v>2250</v>
      </c>
      <c r="AE80" s="1">
        <f>sales_dataset[[#This Row],[Column17]]*sales_dataset[[#This Row],[Column16]]</f>
        <v>0</v>
      </c>
    </row>
    <row r="81" spans="3:31" x14ac:dyDescent="0.3">
      <c r="C81" s="1" t="s">
        <v>25</v>
      </c>
      <c r="F81" s="1" t="s">
        <v>18</v>
      </c>
      <c r="H81" s="1" t="s">
        <v>147</v>
      </c>
      <c r="J81" s="1" t="s">
        <v>46</v>
      </c>
      <c r="K81" s="1" t="str">
        <f>IF(TRIM(sales_dataset[[#This Row],[Region]])="", J83, PROPER(TRIM(sales_dataset[[#This Row],[Region]])))</f>
        <v>North</v>
      </c>
      <c r="N81" s="1" t="s">
        <v>19</v>
      </c>
      <c r="Q81" s="1" t="s">
        <v>32</v>
      </c>
      <c r="R81" s="1" t="str">
        <f>IF(TRIM(sales_dataset[[#This Row],[ProductCategory]])="", R99, PROPER(TRIM(sales_dataset[[#This Row],[ProductCategory]])))</f>
        <v>Electronics</v>
      </c>
      <c r="T81" s="1" t="s">
        <v>87</v>
      </c>
      <c r="V81">
        <v>3</v>
      </c>
      <c r="W81" t="str">
        <f>IF(TRIM(sales_dataset[[#This Row],[Quantity]])="",V87,PROPER(TRIM(sales_dataset[[#This Row],[Quantity]])))</f>
        <v>3</v>
      </c>
      <c r="Y81">
        <v>500</v>
      </c>
      <c r="Z81" t="str">
        <f>IF(TRIM(sales_dataset[[#This Row],[UnitPrice]])="",Y83,PROPER(TRIM(sales_dataset[[#This Row],[UnitPrice]])))</f>
        <v>500</v>
      </c>
      <c r="AB81">
        <v>1500</v>
      </c>
      <c r="AC81" s="1" t="str">
        <f>IF(TRIM(sales_dataset[[#This Row],[TotalRevenue]])="",AB83,PROPER(TRIM(sales_dataset[[#This Row],[TotalRevenue]])))</f>
        <v>1500</v>
      </c>
      <c r="AD81" s="1">
        <f>ABS(sales_dataset[[#This Row],[Column5]])</f>
        <v>1500</v>
      </c>
      <c r="AE81" s="1">
        <f>sales_dataset[[#This Row],[Column17]]*sales_dataset[[#This Row],[Column16]]</f>
        <v>0</v>
      </c>
    </row>
    <row r="82" spans="3:31" x14ac:dyDescent="0.3">
      <c r="C82" s="1" t="s">
        <v>35</v>
      </c>
      <c r="F82" s="1" t="s">
        <v>118</v>
      </c>
      <c r="H82" s="1" t="s">
        <v>45</v>
      </c>
      <c r="J82" s="1" t="s">
        <v>19</v>
      </c>
      <c r="K82" s="1" t="str">
        <f>IF(TRIM(sales_dataset[[#This Row],[Region]])="", J84, PROPER(TRIM(sales_dataset[[#This Row],[Region]])))</f>
        <v>North</v>
      </c>
      <c r="N82" s="1" t="s">
        <v>56</v>
      </c>
      <c r="Q82" s="1" t="s">
        <v>63</v>
      </c>
      <c r="R82" s="1" t="str">
        <f>IF(TRIM(sales_dataset[[#This Row],[ProductCategory]])="", R100, PROPER(TRIM(sales_dataset[[#This Row],[ProductCategory]])))</f>
        <v>Clothing</v>
      </c>
      <c r="T82" s="1" t="s">
        <v>95</v>
      </c>
      <c r="V82">
        <v>3</v>
      </c>
      <c r="W82" t="str">
        <f>IF(TRIM(sales_dataset[[#This Row],[Quantity]])="",V88,PROPER(TRIM(sales_dataset[[#This Row],[Quantity]])))</f>
        <v>3</v>
      </c>
      <c r="Y82">
        <v>1500</v>
      </c>
      <c r="Z82" t="str">
        <f>IF(TRIM(sales_dataset[[#This Row],[UnitPrice]])="",Y84,PROPER(TRIM(sales_dataset[[#This Row],[UnitPrice]])))</f>
        <v>1500</v>
      </c>
      <c r="AB82">
        <v>2250</v>
      </c>
      <c r="AC82" s="1" t="str">
        <f>IF(TRIM(sales_dataset[[#This Row],[TotalRevenue]])="",AB84,PROPER(TRIM(sales_dataset[[#This Row],[TotalRevenue]])))</f>
        <v>2250</v>
      </c>
      <c r="AD82" s="1">
        <f>ABS(sales_dataset[[#This Row],[Column5]])</f>
        <v>2250</v>
      </c>
      <c r="AE82" s="1">
        <f>sales_dataset[[#This Row],[Column17]]*sales_dataset[[#This Row],[Column16]]</f>
        <v>0</v>
      </c>
    </row>
    <row r="83" spans="3:31" x14ac:dyDescent="0.3">
      <c r="C83" s="1" t="s">
        <v>43</v>
      </c>
      <c r="F83" s="1" t="s">
        <v>53</v>
      </c>
      <c r="H83" s="1" t="s">
        <v>45</v>
      </c>
      <c r="J83" s="1" t="s">
        <v>37</v>
      </c>
      <c r="K83" s="1" t="str">
        <f>IF(TRIM(sales_dataset[[#This Row],[Region]])="", J85, PROPER(TRIM(sales_dataset[[#This Row],[Region]])))</f>
        <v>North</v>
      </c>
      <c r="N83" s="1" t="s">
        <v>48</v>
      </c>
      <c r="Q83" s="1" t="s">
        <v>82</v>
      </c>
      <c r="R83" s="1" t="str">
        <f>IF(TRIM(sales_dataset[[#This Row],[ProductCategory]])="", R101, PROPER(TRIM(sales_dataset[[#This Row],[ProductCategory]])))</f>
        <v>Electronics</v>
      </c>
      <c r="T83" s="1" t="s">
        <v>76</v>
      </c>
      <c r="V83">
        <v>2</v>
      </c>
      <c r="W83" t="str">
        <f>IF(TRIM(sales_dataset[[#This Row],[Quantity]])="",V89,PROPER(TRIM(sales_dataset[[#This Row],[Quantity]])))</f>
        <v>2</v>
      </c>
      <c r="Y83">
        <v>2000</v>
      </c>
      <c r="Z83" t="str">
        <f>IF(TRIM(sales_dataset[[#This Row],[UnitPrice]])="",Y85,PROPER(TRIM(sales_dataset[[#This Row],[UnitPrice]])))</f>
        <v>2000</v>
      </c>
      <c r="AB83">
        <v>4000</v>
      </c>
      <c r="AC83" s="1" t="str">
        <f>IF(TRIM(sales_dataset[[#This Row],[TotalRevenue]])="",AB85,PROPER(TRIM(sales_dataset[[#This Row],[TotalRevenue]])))</f>
        <v>4000</v>
      </c>
      <c r="AD83" s="1">
        <f>ABS(sales_dataset[[#This Row],[Column5]])</f>
        <v>4000</v>
      </c>
      <c r="AE83" s="1">
        <f>sales_dataset[[#This Row],[Column17]]*sales_dataset[[#This Row],[Column16]]</f>
        <v>0</v>
      </c>
    </row>
    <row r="84" spans="3:31" x14ac:dyDescent="0.3">
      <c r="C84" s="1" t="s">
        <v>51</v>
      </c>
      <c r="F84" s="1" t="s">
        <v>18</v>
      </c>
      <c r="H84" s="1" t="s">
        <v>147</v>
      </c>
      <c r="J84" s="1" t="s">
        <v>46</v>
      </c>
      <c r="K84" s="1" t="str">
        <f>IF(TRIM(sales_dataset[[#This Row],[Region]])="", J86, PROPER(TRIM(sales_dataset[[#This Row],[Region]])))</f>
        <v>North</v>
      </c>
      <c r="N84" s="1" t="s">
        <v>56</v>
      </c>
      <c r="Q84" s="1" t="s">
        <v>63</v>
      </c>
      <c r="R84" s="1" t="str">
        <f>IF(TRIM(sales_dataset[[#This Row],[ProductCategory]])="", R102, PROPER(TRIM(sales_dataset[[#This Row],[ProductCategory]])))</f>
        <v>Clothing</v>
      </c>
      <c r="T84" s="1" t="s">
        <v>69</v>
      </c>
      <c r="V84">
        <v>1</v>
      </c>
      <c r="W84" t="str">
        <f>IF(TRIM(sales_dataset[[#This Row],[Quantity]])="",V90,PROPER(TRIM(sales_dataset[[#This Row],[Quantity]])))</f>
        <v>1</v>
      </c>
      <c r="Y84">
        <v>1500</v>
      </c>
      <c r="Z84" t="str">
        <f>IF(TRIM(sales_dataset[[#This Row],[UnitPrice]])="",Y86,PROPER(TRIM(sales_dataset[[#This Row],[UnitPrice]])))</f>
        <v>1500</v>
      </c>
      <c r="AB84">
        <v>1500</v>
      </c>
      <c r="AC84" s="1" t="str">
        <f>IF(TRIM(sales_dataset[[#This Row],[TotalRevenue]])="",AB86,PROPER(TRIM(sales_dataset[[#This Row],[TotalRevenue]])))</f>
        <v>1500</v>
      </c>
      <c r="AD84" s="1">
        <f>ABS(sales_dataset[[#This Row],[Column5]])</f>
        <v>1500</v>
      </c>
      <c r="AE84" s="1">
        <f>sales_dataset[[#This Row],[Column17]]*sales_dataset[[#This Row],[Column16]]</f>
        <v>0</v>
      </c>
    </row>
    <row r="85" spans="3:31" x14ac:dyDescent="0.3">
      <c r="C85" s="1" t="s">
        <v>19</v>
      </c>
      <c r="F85" s="1" t="s">
        <v>27</v>
      </c>
      <c r="H85" s="1" t="s">
        <v>73</v>
      </c>
      <c r="J85" s="1" t="s">
        <v>80</v>
      </c>
      <c r="K85" s="1" t="str">
        <f>IF(TRIM(sales_dataset[[#This Row],[Region]])="", J87, PROPER(TRIM(sales_dataset[[#This Row],[Region]])))</f>
        <v>East</v>
      </c>
      <c r="N85" s="1" t="s">
        <v>30</v>
      </c>
      <c r="Q85" s="1" t="s">
        <v>82</v>
      </c>
      <c r="R85" s="1" t="str">
        <f>IF(TRIM(sales_dataset[[#This Row],[ProductCategory]])="", R103, PROPER(TRIM(sales_dataset[[#This Row],[ProductCategory]])))</f>
        <v>Electronics</v>
      </c>
      <c r="T85" s="1" t="s">
        <v>33</v>
      </c>
      <c r="V85">
        <v>4</v>
      </c>
      <c r="W85" t="str">
        <f>IF(TRIM(sales_dataset[[#This Row],[Quantity]])="",V91,PROPER(TRIM(sales_dataset[[#This Row],[Quantity]])))</f>
        <v>4</v>
      </c>
      <c r="Y85">
        <v>2000</v>
      </c>
      <c r="Z85" t="str">
        <f>IF(TRIM(sales_dataset[[#This Row],[UnitPrice]])="",Y87,PROPER(TRIM(sales_dataset[[#This Row],[UnitPrice]])))</f>
        <v>2000</v>
      </c>
      <c r="AB85">
        <v>8000</v>
      </c>
      <c r="AC85" s="1" t="str">
        <f>IF(TRIM(sales_dataset[[#This Row],[TotalRevenue]])="",AB87,PROPER(TRIM(sales_dataset[[#This Row],[TotalRevenue]])))</f>
        <v>8000</v>
      </c>
      <c r="AD85" s="1">
        <f>ABS(sales_dataset[[#This Row],[Column5]])</f>
        <v>8000</v>
      </c>
      <c r="AE85" s="1">
        <f>sales_dataset[[#This Row],[Column17]]*sales_dataset[[#This Row],[Column16]]</f>
        <v>0</v>
      </c>
    </row>
    <row r="86" spans="3:31" x14ac:dyDescent="0.3">
      <c r="C86" s="1" t="s">
        <v>16</v>
      </c>
      <c r="F86" s="1" t="s">
        <v>19</v>
      </c>
      <c r="H86" s="1" t="s">
        <v>19</v>
      </c>
      <c r="J86" s="1" t="s">
        <v>46</v>
      </c>
      <c r="K86" s="1" t="str">
        <f>IF(TRIM(sales_dataset[[#This Row],[Region]])="", J88, PROPER(TRIM(sales_dataset[[#This Row],[Region]])))</f>
        <v>North</v>
      </c>
      <c r="N86" s="1" t="s">
        <v>21</v>
      </c>
      <c r="Q86" s="1" t="s">
        <v>32</v>
      </c>
      <c r="R86" s="1" t="str">
        <f>IF(TRIM(sales_dataset[[#This Row],[ProductCategory]])="", R104, PROPER(TRIM(sales_dataset[[#This Row],[ProductCategory]])))</f>
        <v>Electronics</v>
      </c>
      <c r="T86" s="1" t="s">
        <v>76</v>
      </c>
      <c r="V86">
        <v>5</v>
      </c>
      <c r="W86" t="str">
        <f>IF(TRIM(sales_dataset[[#This Row],[Quantity]])="",V92,PROPER(TRIM(sales_dataset[[#This Row],[Quantity]])))</f>
        <v>5</v>
      </c>
      <c r="Y86">
        <v>-100</v>
      </c>
      <c r="Z86" t="str">
        <f>IF(TRIM(sales_dataset[[#This Row],[UnitPrice]])="",Y88,PROPER(TRIM(sales_dataset[[#This Row],[UnitPrice]])))</f>
        <v>-100</v>
      </c>
      <c r="AB86">
        <v>-500</v>
      </c>
      <c r="AC86" s="1" t="str">
        <f>IF(TRIM(sales_dataset[[#This Row],[TotalRevenue]])="",AB88,PROPER(TRIM(sales_dataset[[#This Row],[TotalRevenue]])))</f>
        <v>-500</v>
      </c>
      <c r="AD86" s="1">
        <f>ABS(sales_dataset[[#This Row],[Column5]])</f>
        <v>500</v>
      </c>
      <c r="AE86" s="1">
        <f>sales_dataset[[#This Row],[Column17]]*sales_dataset[[#This Row],[Column16]]</f>
        <v>0</v>
      </c>
    </row>
    <row r="87" spans="3:31" x14ac:dyDescent="0.3">
      <c r="C87" s="1" t="s">
        <v>25</v>
      </c>
      <c r="F87" s="1" t="s">
        <v>27</v>
      </c>
      <c r="H87" s="1" t="s">
        <v>79</v>
      </c>
      <c r="J87" s="1" t="s">
        <v>98</v>
      </c>
      <c r="K87" s="1" t="str">
        <f>IF(TRIM(sales_dataset[[#This Row],[Region]])="", J89, PROPER(TRIM(sales_dataset[[#This Row],[Region]])))</f>
        <v>South</v>
      </c>
      <c r="N87" s="1" t="s">
        <v>19</v>
      </c>
      <c r="Q87" s="1" t="s">
        <v>82</v>
      </c>
      <c r="R87" s="1" t="str">
        <f>IF(TRIM(sales_dataset[[#This Row],[ProductCategory]])="", R105, PROPER(TRIM(sales_dataset[[#This Row],[ProductCategory]])))</f>
        <v>Electronics</v>
      </c>
      <c r="T87" s="1" t="s">
        <v>33</v>
      </c>
      <c r="V87">
        <v>5</v>
      </c>
      <c r="W87" t="str">
        <f>IF(TRIM(sales_dataset[[#This Row],[Quantity]])="",V93,PROPER(TRIM(sales_dataset[[#This Row],[Quantity]])))</f>
        <v>5</v>
      </c>
      <c r="Y87">
        <v>2000</v>
      </c>
      <c r="Z87" t="str">
        <f>IF(TRIM(sales_dataset[[#This Row],[UnitPrice]])="",Y89,PROPER(TRIM(sales_dataset[[#This Row],[UnitPrice]])))</f>
        <v>2000</v>
      </c>
      <c r="AB87">
        <v>10000</v>
      </c>
      <c r="AC87" s="1" t="str">
        <f>IF(TRIM(sales_dataset[[#This Row],[TotalRevenue]])="",AB89,PROPER(TRIM(sales_dataset[[#This Row],[TotalRevenue]])))</f>
        <v>10000</v>
      </c>
      <c r="AD87" s="1">
        <f>ABS(sales_dataset[[#This Row],[Column5]])</f>
        <v>10000</v>
      </c>
      <c r="AE87" s="1">
        <f>sales_dataset[[#This Row],[Column17]]*sales_dataset[[#This Row],[Column16]]</f>
        <v>0</v>
      </c>
    </row>
    <row r="88" spans="3:31" x14ac:dyDescent="0.3">
      <c r="C88" s="1" t="s">
        <v>35</v>
      </c>
      <c r="F88" s="1" t="s">
        <v>27</v>
      </c>
      <c r="H88" s="1" t="s">
        <v>73</v>
      </c>
      <c r="J88" s="1" t="s">
        <v>80</v>
      </c>
      <c r="K88" s="1" t="str">
        <f>IF(TRIM(sales_dataset[[#This Row],[Region]])="", J90, PROPER(TRIM(sales_dataset[[#This Row],[Region]])))</f>
        <v>East</v>
      </c>
      <c r="N88" s="1" t="s">
        <v>19</v>
      </c>
      <c r="Q88" s="1" t="s">
        <v>32</v>
      </c>
      <c r="R88" s="1" t="str">
        <f>IF(TRIM(sales_dataset[[#This Row],[ProductCategory]])="", R106, PROPER(TRIM(sales_dataset[[#This Row],[ProductCategory]])))</f>
        <v>Electronics</v>
      </c>
      <c r="T88" s="1" t="s">
        <v>69</v>
      </c>
      <c r="V88">
        <v>3</v>
      </c>
      <c r="W88" t="str">
        <f>IF(TRIM(sales_dataset[[#This Row],[Quantity]])="",V94,PROPER(TRIM(sales_dataset[[#This Row],[Quantity]])))</f>
        <v>3</v>
      </c>
      <c r="Y88">
        <v>1500</v>
      </c>
      <c r="Z88" t="str">
        <f>IF(TRIM(sales_dataset[[#This Row],[UnitPrice]])="",Y90,PROPER(TRIM(sales_dataset[[#This Row],[UnitPrice]])))</f>
        <v>1500</v>
      </c>
      <c r="AB88">
        <v>2250</v>
      </c>
      <c r="AC88" s="1" t="str">
        <f>IF(TRIM(sales_dataset[[#This Row],[TotalRevenue]])="",AB90,PROPER(TRIM(sales_dataset[[#This Row],[TotalRevenue]])))</f>
        <v>2250</v>
      </c>
      <c r="AD88" s="1">
        <f>ABS(sales_dataset[[#This Row],[Column5]])</f>
        <v>2250</v>
      </c>
      <c r="AE88" s="1">
        <f>sales_dataset[[#This Row],[Column17]]*sales_dataset[[#This Row],[Column16]]</f>
        <v>0</v>
      </c>
    </row>
    <row r="89" spans="3:31" x14ac:dyDescent="0.3">
      <c r="C89" s="1" t="s">
        <v>43</v>
      </c>
      <c r="F89" s="1" t="s">
        <v>72</v>
      </c>
      <c r="H89" s="1" t="s">
        <v>19</v>
      </c>
      <c r="J89" s="1" t="s">
        <v>66</v>
      </c>
      <c r="K89" s="1" t="str">
        <f>IF(TRIM(sales_dataset[[#This Row],[Region]])="", J91, PROPER(TRIM(sales_dataset[[#This Row],[Region]])))</f>
        <v>West</v>
      </c>
      <c r="N89" s="1" t="s">
        <v>56</v>
      </c>
      <c r="Q89" s="1" t="s">
        <v>19</v>
      </c>
      <c r="R89" s="1" t="str">
        <f>IF(TRIM(sales_dataset[[#This Row],[ProductCategory]])="", R107, PROPER(TRIM(sales_dataset[[#This Row],[ProductCategory]])))</f>
        <v>Home</v>
      </c>
      <c r="T89" s="1" t="s">
        <v>76</v>
      </c>
      <c r="V89">
        <v>2</v>
      </c>
      <c r="W89" t="str">
        <f>IF(TRIM(sales_dataset[[#This Row],[Quantity]])="",V95,PROPER(TRIM(sales_dataset[[#This Row],[Quantity]])))</f>
        <v>2</v>
      </c>
      <c r="Y89">
        <v>500</v>
      </c>
      <c r="Z89" t="str">
        <f>IF(TRIM(sales_dataset[[#This Row],[UnitPrice]])="",Y91,PROPER(TRIM(sales_dataset[[#This Row],[UnitPrice]])))</f>
        <v>500</v>
      </c>
      <c r="AB89">
        <v>1000</v>
      </c>
      <c r="AC89" s="1" t="str">
        <f>IF(TRIM(sales_dataset[[#This Row],[TotalRevenue]])="",AB91,PROPER(TRIM(sales_dataset[[#This Row],[TotalRevenue]])))</f>
        <v>1000</v>
      </c>
      <c r="AD89" s="1">
        <f>ABS(sales_dataset[[#This Row],[Column5]])</f>
        <v>1000</v>
      </c>
      <c r="AE89" s="1">
        <f>sales_dataset[[#This Row],[Column17]]*sales_dataset[[#This Row],[Column16]]</f>
        <v>0</v>
      </c>
    </row>
    <row r="90" spans="3:31" x14ac:dyDescent="0.3">
      <c r="C90" s="1" t="s">
        <v>51</v>
      </c>
      <c r="F90" s="1" t="s">
        <v>27</v>
      </c>
      <c r="H90" s="1" t="s">
        <v>79</v>
      </c>
      <c r="J90" s="1" t="s">
        <v>37</v>
      </c>
      <c r="K90" s="1" t="str">
        <f>IF(TRIM(sales_dataset[[#This Row],[Region]])="", J92, PROPER(TRIM(sales_dataset[[#This Row],[Region]])))</f>
        <v>North</v>
      </c>
      <c r="N90" s="1" t="s">
        <v>48</v>
      </c>
      <c r="Q90" s="1" t="s">
        <v>19</v>
      </c>
      <c r="R90" s="1" t="str">
        <f>IF(TRIM(sales_dataset[[#This Row],[ProductCategory]])="", R108, PROPER(TRIM(sales_dataset[[#This Row],[ProductCategory]])))</f>
        <v>Electronics</v>
      </c>
      <c r="T90" s="1" t="s">
        <v>23</v>
      </c>
      <c r="V90">
        <v>1</v>
      </c>
      <c r="W90" t="str">
        <f>IF(TRIM(sales_dataset[[#This Row],[Quantity]])="",V96,PROPER(TRIM(sales_dataset[[#This Row],[Quantity]])))</f>
        <v>1</v>
      </c>
      <c r="Y90">
        <v>-100</v>
      </c>
      <c r="Z90" t="str">
        <f>IF(TRIM(sales_dataset[[#This Row],[UnitPrice]])="",Y92,PROPER(TRIM(sales_dataset[[#This Row],[UnitPrice]])))</f>
        <v>-100</v>
      </c>
      <c r="AB90">
        <v>-100</v>
      </c>
      <c r="AC90" s="1" t="str">
        <f>IF(TRIM(sales_dataset[[#This Row],[TotalRevenue]])="",AB92,PROPER(TRIM(sales_dataset[[#This Row],[TotalRevenue]])))</f>
        <v>-100</v>
      </c>
      <c r="AD90" s="1">
        <f>ABS(sales_dataset[[#This Row],[Column5]])</f>
        <v>100</v>
      </c>
      <c r="AE90" s="1">
        <f>sales_dataset[[#This Row],[Column17]]*sales_dataset[[#This Row],[Column16]]</f>
        <v>0</v>
      </c>
    </row>
    <row r="91" spans="3:31" x14ac:dyDescent="0.3">
      <c r="C91" s="1" t="s">
        <v>19</v>
      </c>
      <c r="F91" s="1" t="s">
        <v>118</v>
      </c>
      <c r="H91" s="1" t="s">
        <v>79</v>
      </c>
      <c r="J91" s="1" t="s">
        <v>98</v>
      </c>
      <c r="K91" s="1" t="str">
        <f>IF(TRIM(sales_dataset[[#This Row],[Region]])="", J93, PROPER(TRIM(sales_dataset[[#This Row],[Region]])))</f>
        <v>South</v>
      </c>
      <c r="N91" s="1" t="s">
        <v>21</v>
      </c>
      <c r="Q91" s="1" t="s">
        <v>82</v>
      </c>
      <c r="R91" s="1" t="str">
        <f>IF(TRIM(sales_dataset[[#This Row],[ProductCategory]])="", R109, PROPER(TRIM(sales_dataset[[#This Row],[ProductCategory]])))</f>
        <v>Electronics</v>
      </c>
      <c r="T91" s="1" t="s">
        <v>33</v>
      </c>
      <c r="V91">
        <v>-1</v>
      </c>
      <c r="W91" t="str">
        <f>IF(TRIM(sales_dataset[[#This Row],[Quantity]])="",V97,PROPER(TRIM(sales_dataset[[#This Row],[Quantity]])))</f>
        <v>-1</v>
      </c>
      <c r="Y91">
        <v>2000</v>
      </c>
      <c r="Z91" t="str">
        <f>IF(TRIM(sales_dataset[[#This Row],[UnitPrice]])="",Y93,PROPER(TRIM(sales_dataset[[#This Row],[UnitPrice]])))</f>
        <v>2000</v>
      </c>
      <c r="AB91">
        <v>-2000</v>
      </c>
      <c r="AC91" s="1" t="str">
        <f>IF(TRIM(sales_dataset[[#This Row],[TotalRevenue]])="",AB93,PROPER(TRIM(sales_dataset[[#This Row],[TotalRevenue]])))</f>
        <v>-2000</v>
      </c>
      <c r="AD91" s="1">
        <f>ABS(sales_dataset[[#This Row],[Column5]])</f>
        <v>2000</v>
      </c>
      <c r="AE91" s="1">
        <f>sales_dataset[[#This Row],[Column17]]*sales_dataset[[#This Row],[Column16]]</f>
        <v>0</v>
      </c>
    </row>
    <row r="92" spans="3:31" x14ac:dyDescent="0.3">
      <c r="C92" s="1" t="s">
        <v>16</v>
      </c>
      <c r="F92" s="1" t="s">
        <v>72</v>
      </c>
      <c r="H92" s="1" t="s">
        <v>19</v>
      </c>
      <c r="J92" s="1" t="s">
        <v>66</v>
      </c>
      <c r="K92" s="1" t="str">
        <f>IF(TRIM(sales_dataset[[#This Row],[Region]])="", J94, PROPER(TRIM(sales_dataset[[#This Row],[Region]])))</f>
        <v>West</v>
      </c>
      <c r="N92" s="1" t="s">
        <v>19</v>
      </c>
      <c r="Q92" s="1" t="s">
        <v>41</v>
      </c>
      <c r="R92" s="1" t="str">
        <f>IF(TRIM(sales_dataset[[#This Row],[ProductCategory]])="", R110, PROPER(TRIM(sales_dataset[[#This Row],[ProductCategory]])))</f>
        <v>Home</v>
      </c>
      <c r="T92" s="1" t="s">
        <v>76</v>
      </c>
      <c r="V92">
        <v>1</v>
      </c>
      <c r="W92" t="str">
        <f>IF(TRIM(sales_dataset[[#This Row],[Quantity]])="",V98,PROPER(TRIM(sales_dataset[[#This Row],[Quantity]])))</f>
        <v>1</v>
      </c>
      <c r="Y92">
        <v>1500</v>
      </c>
      <c r="Z92" t="str">
        <f>IF(TRIM(sales_dataset[[#This Row],[UnitPrice]])="",Y94,PROPER(TRIM(sales_dataset[[#This Row],[UnitPrice]])))</f>
        <v>1500</v>
      </c>
      <c r="AB92">
        <v>750</v>
      </c>
      <c r="AC92" s="1" t="str">
        <f>IF(TRIM(sales_dataset[[#This Row],[TotalRevenue]])="",AB94,PROPER(TRIM(sales_dataset[[#This Row],[TotalRevenue]])))</f>
        <v>750</v>
      </c>
      <c r="AD92" s="1">
        <f>ABS(sales_dataset[[#This Row],[Column5]])</f>
        <v>750</v>
      </c>
      <c r="AE92" s="1">
        <f>sales_dataset[[#This Row],[Column17]]*sales_dataset[[#This Row],[Column16]]</f>
        <v>0</v>
      </c>
    </row>
    <row r="93" spans="3:31" x14ac:dyDescent="0.3">
      <c r="C93" s="1" t="s">
        <v>25</v>
      </c>
      <c r="F93" s="1" t="s">
        <v>27</v>
      </c>
      <c r="H93" s="1" t="s">
        <v>45</v>
      </c>
      <c r="J93" s="1" t="s">
        <v>46</v>
      </c>
      <c r="K93" s="1" t="str">
        <f>IF(TRIM(sales_dataset[[#This Row],[Region]])="", J95, PROPER(TRIM(sales_dataset[[#This Row],[Region]])))</f>
        <v>North</v>
      </c>
      <c r="N93" s="1" t="s">
        <v>56</v>
      </c>
      <c r="Q93" s="1" t="s">
        <v>63</v>
      </c>
      <c r="R93" s="1" t="str">
        <f>IF(TRIM(sales_dataset[[#This Row],[ProductCategory]])="", R111, PROPER(TRIM(sales_dataset[[#This Row],[ProductCategory]])))</f>
        <v>Clothing</v>
      </c>
      <c r="T93" s="1" t="s">
        <v>76</v>
      </c>
      <c r="V93">
        <v>3</v>
      </c>
      <c r="W93" t="str">
        <f>IF(TRIM(sales_dataset[[#This Row],[Quantity]])="",V99,PROPER(TRIM(sales_dataset[[#This Row],[Quantity]])))</f>
        <v>3</v>
      </c>
      <c r="Z93">
        <f>IF(TRIM(sales_dataset[[#This Row],[UnitPrice]])="",Y95,PROPER(TRIM(sales_dataset[[#This Row],[UnitPrice]])))</f>
        <v>2000</v>
      </c>
      <c r="AC93" s="1">
        <f>IF(TRIM(sales_dataset[[#This Row],[TotalRevenue]])="",AB95,PROPER(TRIM(sales_dataset[[#This Row],[TotalRevenue]])))</f>
        <v>8000</v>
      </c>
      <c r="AD93" s="1">
        <f>ABS(sales_dataset[[#This Row],[Column5]])</f>
        <v>8000</v>
      </c>
      <c r="AE93" s="1">
        <f>sales_dataset[[#This Row],[Column17]]*sales_dataset[[#This Row],[Column16]]</f>
        <v>0</v>
      </c>
    </row>
    <row r="94" spans="3:31" x14ac:dyDescent="0.3">
      <c r="C94" s="1" t="s">
        <v>35</v>
      </c>
      <c r="F94" s="1" t="s">
        <v>72</v>
      </c>
      <c r="H94" s="1" t="s">
        <v>79</v>
      </c>
      <c r="J94" s="1" t="s">
        <v>98</v>
      </c>
      <c r="K94" s="1" t="str">
        <f>IF(TRIM(sales_dataset[[#This Row],[Region]])="", J96, PROPER(TRIM(sales_dataset[[#This Row],[Region]])))</f>
        <v>South</v>
      </c>
      <c r="N94" s="1" t="s">
        <v>56</v>
      </c>
      <c r="Q94" s="1" t="s">
        <v>82</v>
      </c>
      <c r="R94" s="1" t="str">
        <f>IF(TRIM(sales_dataset[[#This Row],[ProductCategory]])="", R112, PROPER(TRIM(sales_dataset[[#This Row],[ProductCategory]])))</f>
        <v>Electronics</v>
      </c>
      <c r="T94" s="1" t="s">
        <v>33</v>
      </c>
      <c r="V94">
        <v>3</v>
      </c>
      <c r="W94" t="str">
        <f>IF(TRIM(sales_dataset[[#This Row],[Quantity]])="",V100,PROPER(TRIM(sales_dataset[[#This Row],[Quantity]])))</f>
        <v>3</v>
      </c>
      <c r="Y94">
        <v>500</v>
      </c>
      <c r="Z94" t="str">
        <f>IF(TRIM(sales_dataset[[#This Row],[UnitPrice]])="",Y96,PROPER(TRIM(sales_dataset[[#This Row],[UnitPrice]])))</f>
        <v>500</v>
      </c>
      <c r="AB94">
        <v>1500</v>
      </c>
      <c r="AC94" s="1" t="str">
        <f>IF(TRIM(sales_dataset[[#This Row],[TotalRevenue]])="",AB96,PROPER(TRIM(sales_dataset[[#This Row],[TotalRevenue]])))</f>
        <v>1500</v>
      </c>
      <c r="AD94" s="1">
        <f>ABS(sales_dataset[[#This Row],[Column5]])</f>
        <v>1500</v>
      </c>
      <c r="AE94" s="1">
        <f>sales_dataset[[#This Row],[Column17]]*sales_dataset[[#This Row],[Column16]]</f>
        <v>0</v>
      </c>
    </row>
    <row r="95" spans="3:31" x14ac:dyDescent="0.3">
      <c r="C95" s="1" t="s">
        <v>43</v>
      </c>
      <c r="F95" s="1" t="s">
        <v>118</v>
      </c>
      <c r="H95" s="1" t="s">
        <v>19</v>
      </c>
      <c r="J95" s="1" t="s">
        <v>66</v>
      </c>
      <c r="K95" s="1" t="str">
        <f>IF(TRIM(sales_dataset[[#This Row],[Region]])="", J97, PROPER(TRIM(sales_dataset[[#This Row],[Region]])))</f>
        <v>West</v>
      </c>
      <c r="N95" s="1" t="s">
        <v>39</v>
      </c>
      <c r="Q95" s="1" t="s">
        <v>82</v>
      </c>
      <c r="R95" s="1" t="str">
        <f>IF(TRIM(sales_dataset[[#This Row],[ProductCategory]])="", R113, PROPER(TRIM(sales_dataset[[#This Row],[ProductCategory]])))</f>
        <v>Electronics</v>
      </c>
      <c r="T95" s="1" t="s">
        <v>69</v>
      </c>
      <c r="V95">
        <v>4</v>
      </c>
      <c r="W95" t="str">
        <f>IF(TRIM(sales_dataset[[#This Row],[Quantity]])="",V101,PROPER(TRIM(sales_dataset[[#This Row],[Quantity]])))</f>
        <v>4</v>
      </c>
      <c r="Y95">
        <v>2000</v>
      </c>
      <c r="Z95" t="str">
        <f>IF(TRIM(sales_dataset[[#This Row],[UnitPrice]])="",Y97,PROPER(TRIM(sales_dataset[[#This Row],[UnitPrice]])))</f>
        <v>2000</v>
      </c>
      <c r="AB95">
        <v>8000</v>
      </c>
      <c r="AC95" s="1" t="str">
        <f>IF(TRIM(sales_dataset[[#This Row],[TotalRevenue]])="",AB97,PROPER(TRIM(sales_dataset[[#This Row],[TotalRevenue]])))</f>
        <v>8000</v>
      </c>
      <c r="AD95" s="1">
        <f>ABS(sales_dataset[[#This Row],[Column5]])</f>
        <v>8000</v>
      </c>
      <c r="AE95" s="1">
        <f>sales_dataset[[#This Row],[Column17]]*sales_dataset[[#This Row],[Column16]]</f>
        <v>0</v>
      </c>
    </row>
    <row r="96" spans="3:31" x14ac:dyDescent="0.3">
      <c r="C96" s="1" t="s">
        <v>51</v>
      </c>
      <c r="F96" s="1" t="s">
        <v>118</v>
      </c>
      <c r="H96" s="1" t="s">
        <v>28</v>
      </c>
      <c r="J96" s="1" t="s">
        <v>80</v>
      </c>
      <c r="K96" s="1" t="str">
        <f>IF(TRIM(sales_dataset[[#This Row],[Region]])="", J98, PROPER(TRIM(sales_dataset[[#This Row],[Region]])))</f>
        <v>East</v>
      </c>
      <c r="N96" s="1" t="s">
        <v>21</v>
      </c>
      <c r="Q96" s="1" t="s">
        <v>63</v>
      </c>
      <c r="R96" s="1" t="str">
        <f>IF(TRIM(sales_dataset[[#This Row],[ProductCategory]])="", R114, PROPER(TRIM(sales_dataset[[#This Row],[ProductCategory]])))</f>
        <v>Clothing</v>
      </c>
      <c r="T96" s="1" t="s">
        <v>19</v>
      </c>
      <c r="W96">
        <f>IF(TRIM(sales_dataset[[#This Row],[Quantity]])="",V102,PROPER(TRIM(sales_dataset[[#This Row],[Quantity]])))</f>
        <v>0</v>
      </c>
      <c r="Y96">
        <v>2500</v>
      </c>
      <c r="Z96" t="str">
        <f>IF(TRIM(sales_dataset[[#This Row],[UnitPrice]])="",Y98,PROPER(TRIM(sales_dataset[[#This Row],[UnitPrice]])))</f>
        <v>2500</v>
      </c>
      <c r="AC96" s="1">
        <f>IF(TRIM(sales_dataset[[#This Row],[TotalRevenue]])="",AB98,PROPER(TRIM(sales_dataset[[#This Row],[TotalRevenue]])))</f>
        <v>0</v>
      </c>
      <c r="AD96" s="1">
        <f>ABS(sales_dataset[[#This Row],[Column5]])</f>
        <v>0</v>
      </c>
      <c r="AE96" s="1">
        <f>sales_dataset[[#This Row],[Column17]]*sales_dataset[[#This Row],[Column16]]</f>
        <v>0</v>
      </c>
    </row>
    <row r="97" spans="3:31" x14ac:dyDescent="0.3">
      <c r="C97" s="1" t="s">
        <v>19</v>
      </c>
      <c r="F97" s="1" t="s">
        <v>53</v>
      </c>
      <c r="H97" s="1" t="s">
        <v>147</v>
      </c>
      <c r="J97" s="1" t="s">
        <v>46</v>
      </c>
      <c r="K97" s="1" t="str">
        <f>IF(TRIM(sales_dataset[[#This Row],[Region]])="", J99, PROPER(TRIM(sales_dataset[[#This Row],[Region]])))</f>
        <v>North</v>
      </c>
      <c r="N97" s="1" t="s">
        <v>56</v>
      </c>
      <c r="Q97" s="1" t="s">
        <v>82</v>
      </c>
      <c r="R97" s="1" t="str">
        <f>IF(TRIM(sales_dataset[[#This Row],[ProductCategory]])="", R115, PROPER(TRIM(sales_dataset[[#This Row],[ProductCategory]])))</f>
        <v>Electronics</v>
      </c>
      <c r="T97" s="1" t="s">
        <v>33</v>
      </c>
      <c r="V97">
        <v>5</v>
      </c>
      <c r="W97" t="str">
        <f>IF(TRIM(sales_dataset[[#This Row],[Quantity]])="",V103,PROPER(TRIM(sales_dataset[[#This Row],[Quantity]])))</f>
        <v>5</v>
      </c>
      <c r="Y97">
        <v>500</v>
      </c>
      <c r="Z97" t="str">
        <f>IF(TRIM(sales_dataset[[#This Row],[UnitPrice]])="",Y99,PROPER(TRIM(sales_dataset[[#This Row],[UnitPrice]])))</f>
        <v>500</v>
      </c>
      <c r="AB97">
        <v>2500</v>
      </c>
      <c r="AC97" s="1" t="str">
        <f>IF(TRIM(sales_dataset[[#This Row],[TotalRevenue]])="",AB99,PROPER(TRIM(sales_dataset[[#This Row],[TotalRevenue]])))</f>
        <v>2500</v>
      </c>
      <c r="AD97" s="1">
        <f>ABS(sales_dataset[[#This Row],[Column5]])</f>
        <v>2500</v>
      </c>
      <c r="AE97" s="1">
        <f>sales_dataset[[#This Row],[Column17]]*sales_dataset[[#This Row],[Column16]]</f>
        <v>0</v>
      </c>
    </row>
    <row r="98" spans="3:31" x14ac:dyDescent="0.3">
      <c r="C98" s="1" t="s">
        <v>16</v>
      </c>
      <c r="F98" s="1" t="s">
        <v>72</v>
      </c>
      <c r="H98" s="1" t="s">
        <v>147</v>
      </c>
      <c r="J98" s="1" t="s">
        <v>66</v>
      </c>
      <c r="K98" s="1" t="str">
        <f>IF(TRIM(sales_dataset[[#This Row],[Region]])="", J100, PROPER(TRIM(sales_dataset[[#This Row],[Region]])))</f>
        <v>West</v>
      </c>
      <c r="N98" s="1" t="s">
        <v>39</v>
      </c>
      <c r="Q98" s="1" t="s">
        <v>63</v>
      </c>
      <c r="R98" s="1" t="str">
        <f>IF(TRIM(sales_dataset[[#This Row],[ProductCategory]])="", R116, PROPER(TRIM(sales_dataset[[#This Row],[ProductCategory]])))</f>
        <v>Clothing</v>
      </c>
      <c r="T98" s="1" t="s">
        <v>95</v>
      </c>
      <c r="V98">
        <v>5</v>
      </c>
      <c r="W98" t="str">
        <f>IF(TRIM(sales_dataset[[#This Row],[Quantity]])="",V104,PROPER(TRIM(sales_dataset[[#This Row],[Quantity]])))</f>
        <v>5</v>
      </c>
      <c r="Z98">
        <f>IF(TRIM(sales_dataset[[#This Row],[UnitPrice]])="",Y100,PROPER(TRIM(sales_dataset[[#This Row],[UnitPrice]])))</f>
        <v>-100</v>
      </c>
      <c r="AC98" s="1">
        <f>IF(TRIM(sales_dataset[[#This Row],[TotalRevenue]])="",AB100,PROPER(TRIM(sales_dataset[[#This Row],[TotalRevenue]])))</f>
        <v>-300</v>
      </c>
      <c r="AD98" s="1">
        <f>ABS(sales_dataset[[#This Row],[Column5]])</f>
        <v>300</v>
      </c>
      <c r="AE98" s="1">
        <f>sales_dataset[[#This Row],[Column17]]*sales_dataset[[#This Row],[Column16]]</f>
        <v>0</v>
      </c>
    </row>
    <row r="99" spans="3:31" x14ac:dyDescent="0.3">
      <c r="C99" s="1" t="s">
        <v>25</v>
      </c>
      <c r="F99" s="1" t="s">
        <v>19</v>
      </c>
      <c r="H99" s="1" t="s">
        <v>28</v>
      </c>
      <c r="J99" s="1" t="s">
        <v>46</v>
      </c>
      <c r="K99" s="1" t="str">
        <f>IF(TRIM(sales_dataset[[#This Row],[Region]])="", J101, PROPER(TRIM(sales_dataset[[#This Row],[Region]])))</f>
        <v>North</v>
      </c>
      <c r="N99" s="1" t="s">
        <v>48</v>
      </c>
      <c r="Q99" s="1" t="s">
        <v>32</v>
      </c>
      <c r="R99" s="1" t="str">
        <f>IF(TRIM(sales_dataset[[#This Row],[ProductCategory]])="", R117, PROPER(TRIM(sales_dataset[[#This Row],[ProductCategory]])))</f>
        <v>Electronics</v>
      </c>
      <c r="T99" s="1" t="s">
        <v>23</v>
      </c>
      <c r="V99">
        <v>5</v>
      </c>
      <c r="W99" t="str">
        <f>IF(TRIM(sales_dataset[[#This Row],[Quantity]])="",V105,PROPER(TRIM(sales_dataset[[#This Row],[Quantity]])))</f>
        <v>5</v>
      </c>
      <c r="Y99">
        <v>-100</v>
      </c>
      <c r="Z99" t="str">
        <f>IF(TRIM(sales_dataset[[#This Row],[UnitPrice]])="",Y101,PROPER(TRIM(sales_dataset[[#This Row],[UnitPrice]])))</f>
        <v>-100</v>
      </c>
      <c r="AB99">
        <v>-500</v>
      </c>
      <c r="AC99" s="1" t="str">
        <f>IF(TRIM(sales_dataset[[#This Row],[TotalRevenue]])="",AB101,PROPER(TRIM(sales_dataset[[#This Row],[TotalRevenue]])))</f>
        <v>-500</v>
      </c>
      <c r="AD99" s="1">
        <f>ABS(sales_dataset[[#This Row],[Column5]])</f>
        <v>500</v>
      </c>
      <c r="AE99" s="1">
        <f>sales_dataset[[#This Row],[Column17]]*sales_dataset[[#This Row],[Column16]]</f>
        <v>0</v>
      </c>
    </row>
    <row r="100" spans="3:31" x14ac:dyDescent="0.3">
      <c r="C100" s="1" t="s">
        <v>35</v>
      </c>
      <c r="F100" s="1" t="s">
        <v>60</v>
      </c>
      <c r="H100" s="1" t="s">
        <v>147</v>
      </c>
      <c r="J100" s="1" t="s">
        <v>66</v>
      </c>
      <c r="K100" s="1" t="str">
        <f>IF(TRIM(sales_dataset[[#This Row],[Region]])="", J102, PROPER(TRIM(sales_dataset[[#This Row],[Region]])))</f>
        <v>West</v>
      </c>
      <c r="N100" s="1" t="s">
        <v>56</v>
      </c>
      <c r="Q100" s="1" t="s">
        <v>41</v>
      </c>
      <c r="R100" s="1" t="str">
        <f>IF(TRIM(sales_dataset[[#This Row],[ProductCategory]])="", R118, PROPER(TRIM(sales_dataset[[#This Row],[ProductCategory]])))</f>
        <v>Home</v>
      </c>
      <c r="T100" s="1" t="s">
        <v>69</v>
      </c>
      <c r="V100">
        <v>3</v>
      </c>
      <c r="W100" t="str">
        <f>IF(TRIM(sales_dataset[[#This Row],[Quantity]])="",V106,PROPER(TRIM(sales_dataset[[#This Row],[Quantity]])))</f>
        <v>3</v>
      </c>
      <c r="Y100">
        <v>-100</v>
      </c>
      <c r="Z100" t="str">
        <f>IF(TRIM(sales_dataset[[#This Row],[UnitPrice]])="",Y102,PROPER(TRIM(sales_dataset[[#This Row],[UnitPrice]])))</f>
        <v>-100</v>
      </c>
      <c r="AB100">
        <v>-300</v>
      </c>
      <c r="AC100" s="1" t="str">
        <f>IF(TRIM(sales_dataset[[#This Row],[TotalRevenue]])="",AB102,PROPER(TRIM(sales_dataset[[#This Row],[TotalRevenue]])))</f>
        <v>-300</v>
      </c>
      <c r="AD100" s="1">
        <f>ABS(sales_dataset[[#This Row],[Column5]])</f>
        <v>300</v>
      </c>
      <c r="AE100" s="1">
        <f>sales_dataset[[#This Row],[Column17]]*sales_dataset[[#This Row],[Column16]]</f>
        <v>0</v>
      </c>
    </row>
    <row r="101" spans="3:31" x14ac:dyDescent="0.3">
      <c r="C101" s="1" t="s">
        <v>43</v>
      </c>
      <c r="F101" s="1" t="s">
        <v>18</v>
      </c>
      <c r="H101" s="1" t="s">
        <v>54</v>
      </c>
      <c r="J101" s="1" t="s">
        <v>37</v>
      </c>
      <c r="K101" s="1" t="str">
        <f>IF(TRIM(sales_dataset[[#This Row],[Region]])="", J103, PROPER(TRIM(sales_dataset[[#This Row],[Region]])))</f>
        <v>North</v>
      </c>
      <c r="N101" s="1" t="s">
        <v>39</v>
      </c>
      <c r="Q101" s="1" t="s">
        <v>19</v>
      </c>
      <c r="R101" s="1" t="str">
        <f>IF(TRIM(sales_dataset[[#This Row],[ProductCategory]])="", R119, PROPER(TRIM(sales_dataset[[#This Row],[ProductCategory]])))</f>
        <v>Electronics</v>
      </c>
      <c r="T101" s="1" t="s">
        <v>19</v>
      </c>
      <c r="V101">
        <v>4</v>
      </c>
      <c r="W101" t="str">
        <f>IF(TRIM(sales_dataset[[#This Row],[Quantity]])="",V107,PROPER(TRIM(sales_dataset[[#This Row],[Quantity]])))</f>
        <v>4</v>
      </c>
      <c r="Z101">
        <f>IF(TRIM(sales_dataset[[#This Row],[UnitPrice]])="",Y103,PROPER(TRIM(sales_dataset[[#This Row],[UnitPrice]])))</f>
        <v>-100</v>
      </c>
      <c r="AC101" s="1">
        <f>IF(TRIM(sales_dataset[[#This Row],[TotalRevenue]])="",AB103,PROPER(TRIM(sales_dataset[[#This Row],[TotalRevenue]])))</f>
        <v>-200</v>
      </c>
      <c r="AD101" s="1">
        <f>ABS(sales_dataset[[#This Row],[Column5]])</f>
        <v>200</v>
      </c>
      <c r="AE101" s="1">
        <f>sales_dataset[[#This Row],[Column17]]*sales_dataset[[#This Row],[Column16]]</f>
        <v>0</v>
      </c>
    </row>
    <row r="102" spans="3:31" x14ac:dyDescent="0.3">
      <c r="C102" s="1" t="s">
        <v>51</v>
      </c>
      <c r="F102" s="1" t="s">
        <v>19</v>
      </c>
      <c r="H102" s="1" t="s">
        <v>19</v>
      </c>
      <c r="J102" s="1" t="s">
        <v>80</v>
      </c>
      <c r="K102" s="1" t="str">
        <f>IF(TRIM(sales_dataset[[#This Row],[Region]])="", J104, PROPER(TRIM(sales_dataset[[#This Row],[Region]])))</f>
        <v>East</v>
      </c>
      <c r="N102" s="1" t="s">
        <v>39</v>
      </c>
      <c r="Q102" s="1" t="s">
        <v>19</v>
      </c>
      <c r="R102" s="1" t="str">
        <f>IF(TRIM(sales_dataset[[#This Row],[ProductCategory]])="", R120, PROPER(TRIM(sales_dataset[[#This Row],[ProductCategory]])))</f>
        <v>Electronics</v>
      </c>
      <c r="T102" s="1" t="s">
        <v>87</v>
      </c>
      <c r="W102">
        <f>IF(TRIM(sales_dataset[[#This Row],[Quantity]])="",V108,PROPER(TRIM(sales_dataset[[#This Row],[Quantity]])))</f>
        <v>2</v>
      </c>
      <c r="Y102">
        <v>1500</v>
      </c>
      <c r="Z102" t="str">
        <f>IF(TRIM(sales_dataset[[#This Row],[UnitPrice]])="",Y104,PROPER(TRIM(sales_dataset[[#This Row],[UnitPrice]])))</f>
        <v>1500</v>
      </c>
      <c r="AC102" s="1">
        <f>IF(TRIM(sales_dataset[[#This Row],[TotalRevenue]])="",AB104,PROPER(TRIM(sales_dataset[[#This Row],[TotalRevenue]])))</f>
        <v>-300</v>
      </c>
      <c r="AD102" s="1">
        <f>ABS(sales_dataset[[#This Row],[Column5]])</f>
        <v>300</v>
      </c>
      <c r="AE102" s="1">
        <f>sales_dataset[[#This Row],[Column17]]*sales_dataset[[#This Row],[Column16]]</f>
        <v>0</v>
      </c>
    </row>
    <row r="103" spans="3:31" x14ac:dyDescent="0.3">
      <c r="C103" s="1" t="s">
        <v>19</v>
      </c>
      <c r="F103" s="1" t="s">
        <v>19</v>
      </c>
      <c r="H103" s="1" t="s">
        <v>147</v>
      </c>
      <c r="J103" s="1" t="s">
        <v>98</v>
      </c>
      <c r="K103" s="1" t="str">
        <f>IF(TRIM(sales_dataset[[#This Row],[Region]])="", J105, PROPER(TRIM(sales_dataset[[#This Row],[Region]])))</f>
        <v>South</v>
      </c>
      <c r="N103" s="1" t="s">
        <v>21</v>
      </c>
      <c r="Q103" s="1" t="s">
        <v>41</v>
      </c>
      <c r="R103" s="1" t="str">
        <f>IF(TRIM(sales_dataset[[#This Row],[ProductCategory]])="", R121, PROPER(TRIM(sales_dataset[[#This Row],[ProductCategory]])))</f>
        <v>Home</v>
      </c>
      <c r="T103" s="1" t="s">
        <v>87</v>
      </c>
      <c r="V103">
        <v>2</v>
      </c>
      <c r="W103" t="str">
        <f>IF(TRIM(sales_dataset[[#This Row],[Quantity]])="",V109,PROPER(TRIM(sales_dataset[[#This Row],[Quantity]])))</f>
        <v>2</v>
      </c>
      <c r="Y103">
        <v>-100</v>
      </c>
      <c r="Z103" t="str">
        <f>IF(TRIM(sales_dataset[[#This Row],[UnitPrice]])="",Y105,PROPER(TRIM(sales_dataset[[#This Row],[UnitPrice]])))</f>
        <v>-100</v>
      </c>
      <c r="AB103">
        <v>-200</v>
      </c>
      <c r="AC103" s="1" t="str">
        <f>IF(TRIM(sales_dataset[[#This Row],[TotalRevenue]])="",AB105,PROPER(TRIM(sales_dataset[[#This Row],[TotalRevenue]])))</f>
        <v>-200</v>
      </c>
      <c r="AD103" s="1">
        <f>ABS(sales_dataset[[#This Row],[Column5]])</f>
        <v>200</v>
      </c>
      <c r="AE103" s="1">
        <f>sales_dataset[[#This Row],[Column17]]*sales_dataset[[#This Row],[Column16]]</f>
        <v>0</v>
      </c>
    </row>
    <row r="104" spans="3:31" x14ac:dyDescent="0.3">
      <c r="C104" s="1" t="s">
        <v>16</v>
      </c>
      <c r="F104" s="1" t="s">
        <v>19</v>
      </c>
      <c r="H104" s="1" t="s">
        <v>147</v>
      </c>
      <c r="J104" s="1" t="s">
        <v>66</v>
      </c>
      <c r="K104" s="1" t="str">
        <f>IF(TRIM(sales_dataset[[#This Row],[Region]])="", J106, PROPER(TRIM(sales_dataset[[#This Row],[Region]])))</f>
        <v>West</v>
      </c>
      <c r="N104" s="1" t="s">
        <v>19</v>
      </c>
      <c r="Q104" s="1" t="s">
        <v>63</v>
      </c>
      <c r="R104" s="1" t="str">
        <f>IF(TRIM(sales_dataset[[#This Row],[ProductCategory]])="", R122, PROPER(TRIM(sales_dataset[[#This Row],[ProductCategory]])))</f>
        <v>Clothing</v>
      </c>
      <c r="T104" s="1" t="s">
        <v>23</v>
      </c>
      <c r="V104">
        <v>3</v>
      </c>
      <c r="W104" t="str">
        <f>IF(TRIM(sales_dataset[[#This Row],[Quantity]])="",V110,PROPER(TRIM(sales_dataset[[#This Row],[Quantity]])))</f>
        <v>3</v>
      </c>
      <c r="Y104">
        <v>-100</v>
      </c>
      <c r="Z104" t="str">
        <f>IF(TRIM(sales_dataset[[#This Row],[UnitPrice]])="",Y106,PROPER(TRIM(sales_dataset[[#This Row],[UnitPrice]])))</f>
        <v>-100</v>
      </c>
      <c r="AB104">
        <v>-300</v>
      </c>
      <c r="AC104" s="1" t="str">
        <f>IF(TRIM(sales_dataset[[#This Row],[TotalRevenue]])="",AB106,PROPER(TRIM(sales_dataset[[#This Row],[TotalRevenue]])))</f>
        <v>-300</v>
      </c>
      <c r="AD104" s="1">
        <f>ABS(sales_dataset[[#This Row],[Column5]])</f>
        <v>300</v>
      </c>
      <c r="AE104" s="1">
        <f>sales_dataset[[#This Row],[Column17]]*sales_dataset[[#This Row],[Column16]]</f>
        <v>0</v>
      </c>
    </row>
    <row r="105" spans="3:31" x14ac:dyDescent="0.3">
      <c r="C105" s="1" t="s">
        <v>25</v>
      </c>
      <c r="F105" s="1" t="s">
        <v>27</v>
      </c>
      <c r="H105" s="1" t="s">
        <v>147</v>
      </c>
      <c r="J105" s="1" t="s">
        <v>46</v>
      </c>
      <c r="K105" s="1" t="str">
        <f>IF(TRIM(sales_dataset[[#This Row],[Region]])="", J107, PROPER(TRIM(sales_dataset[[#This Row],[Region]])))</f>
        <v>North</v>
      </c>
      <c r="N105" s="1" t="s">
        <v>39</v>
      </c>
      <c r="Q105" s="1" t="s">
        <v>41</v>
      </c>
      <c r="R105" s="1" t="str">
        <f>IF(TRIM(sales_dataset[[#This Row],[ProductCategory]])="", R123, PROPER(TRIM(sales_dataset[[#This Row],[ProductCategory]])))</f>
        <v>Home</v>
      </c>
      <c r="T105" s="1" t="s">
        <v>23</v>
      </c>
      <c r="V105">
        <v>4</v>
      </c>
      <c r="W105" t="str">
        <f>IF(TRIM(sales_dataset[[#This Row],[Quantity]])="",V111,PROPER(TRIM(sales_dataset[[#This Row],[Quantity]])))</f>
        <v>4</v>
      </c>
      <c r="Z105">
        <f>IF(TRIM(sales_dataset[[#This Row],[UnitPrice]])="",Y107,PROPER(TRIM(sales_dataset[[#This Row],[UnitPrice]])))</f>
        <v>1500</v>
      </c>
      <c r="AC105" s="1">
        <f>IF(TRIM(sales_dataset[[#This Row],[TotalRevenue]])="",AB107,PROPER(TRIM(sales_dataset[[#This Row],[TotalRevenue]])))</f>
        <v>-1500</v>
      </c>
      <c r="AD105" s="1">
        <f>ABS(sales_dataset[[#This Row],[Column5]])</f>
        <v>1500</v>
      </c>
      <c r="AE105" s="1">
        <f>sales_dataset[[#This Row],[Column17]]*sales_dataset[[#This Row],[Column16]]</f>
        <v>0</v>
      </c>
    </row>
    <row r="106" spans="3:31" x14ac:dyDescent="0.3">
      <c r="C106" s="1" t="s">
        <v>35</v>
      </c>
      <c r="F106" s="1" t="s">
        <v>18</v>
      </c>
      <c r="H106" s="1" t="s">
        <v>79</v>
      </c>
      <c r="J106" s="1" t="s">
        <v>80</v>
      </c>
      <c r="K106" s="1" t="str">
        <f>IF(TRIM(sales_dataset[[#This Row],[Region]])="", J108, PROPER(TRIM(sales_dataset[[#This Row],[Region]])))</f>
        <v>East</v>
      </c>
      <c r="N106" s="1" t="s">
        <v>56</v>
      </c>
      <c r="Q106" s="1" t="s">
        <v>63</v>
      </c>
      <c r="R106" s="1" t="str">
        <f>IF(TRIM(sales_dataset[[#This Row],[ProductCategory]])="", R124, PROPER(TRIM(sales_dataset[[#This Row],[ProductCategory]])))</f>
        <v>Clothing</v>
      </c>
      <c r="T106" s="1" t="s">
        <v>87</v>
      </c>
      <c r="V106">
        <v>3</v>
      </c>
      <c r="W106" t="str">
        <f>IF(TRIM(sales_dataset[[#This Row],[Quantity]])="",V112,PROPER(TRIM(sales_dataset[[#This Row],[Quantity]])))</f>
        <v>3</v>
      </c>
      <c r="Y106">
        <v>2500</v>
      </c>
      <c r="Z106" t="str">
        <f>IF(TRIM(sales_dataset[[#This Row],[UnitPrice]])="",Y108,PROPER(TRIM(sales_dataset[[#This Row],[UnitPrice]])))</f>
        <v>2500</v>
      </c>
      <c r="AB106">
        <v>7500</v>
      </c>
      <c r="AC106" s="1" t="str">
        <f>IF(TRIM(sales_dataset[[#This Row],[TotalRevenue]])="",AB108,PROPER(TRIM(sales_dataset[[#This Row],[TotalRevenue]])))</f>
        <v>7500</v>
      </c>
      <c r="AD106" s="1">
        <f>ABS(sales_dataset[[#This Row],[Column5]])</f>
        <v>7500</v>
      </c>
      <c r="AE106" s="1">
        <f>sales_dataset[[#This Row],[Column17]]*sales_dataset[[#This Row],[Column16]]</f>
        <v>0</v>
      </c>
    </row>
    <row r="107" spans="3:31" x14ac:dyDescent="0.3">
      <c r="C107" s="1" t="s">
        <v>43</v>
      </c>
      <c r="F107" s="1" t="s">
        <v>19</v>
      </c>
      <c r="H107" s="1" t="s">
        <v>73</v>
      </c>
      <c r="J107" s="1" t="s">
        <v>98</v>
      </c>
      <c r="K107" s="1" t="str">
        <f>IF(TRIM(sales_dataset[[#This Row],[Region]])="", J109, PROPER(TRIM(sales_dataset[[#This Row],[Region]])))</f>
        <v>South</v>
      </c>
      <c r="N107" s="1" t="s">
        <v>30</v>
      </c>
      <c r="Q107" s="1" t="s">
        <v>41</v>
      </c>
      <c r="R107" s="1" t="str">
        <f>IF(TRIM(sales_dataset[[#This Row],[ProductCategory]])="", R125, PROPER(TRIM(sales_dataset[[#This Row],[ProductCategory]])))</f>
        <v>Home</v>
      </c>
      <c r="T107" s="1" t="s">
        <v>33</v>
      </c>
      <c r="V107">
        <v>-1</v>
      </c>
      <c r="W107" t="str">
        <f>IF(TRIM(sales_dataset[[#This Row],[Quantity]])="",V113,PROPER(TRIM(sales_dataset[[#This Row],[Quantity]])))</f>
        <v>-1</v>
      </c>
      <c r="Y107">
        <v>1500</v>
      </c>
      <c r="Z107" t="str">
        <f>IF(TRIM(sales_dataset[[#This Row],[UnitPrice]])="",Y109,PROPER(TRIM(sales_dataset[[#This Row],[UnitPrice]])))</f>
        <v>1500</v>
      </c>
      <c r="AB107">
        <v>-1500</v>
      </c>
      <c r="AC107" s="1" t="str">
        <f>IF(TRIM(sales_dataset[[#This Row],[TotalRevenue]])="",AB109,PROPER(TRIM(sales_dataset[[#This Row],[TotalRevenue]])))</f>
        <v>-1500</v>
      </c>
      <c r="AD107" s="1">
        <f>ABS(sales_dataset[[#This Row],[Column5]])</f>
        <v>1500</v>
      </c>
      <c r="AE107" s="1">
        <f>sales_dataset[[#This Row],[Column17]]*sales_dataset[[#This Row],[Column16]]</f>
        <v>0</v>
      </c>
    </row>
    <row r="108" spans="3:31" x14ac:dyDescent="0.3">
      <c r="C108" s="1" t="s">
        <v>51</v>
      </c>
      <c r="F108" s="1" t="s">
        <v>118</v>
      </c>
      <c r="H108" s="1" t="s">
        <v>54</v>
      </c>
      <c r="J108" s="1" t="s">
        <v>46</v>
      </c>
      <c r="K108" s="1" t="str">
        <f>IF(TRIM(sales_dataset[[#This Row],[Region]])="", J110, PROPER(TRIM(sales_dataset[[#This Row],[Region]])))</f>
        <v>North</v>
      </c>
      <c r="N108" s="1" t="s">
        <v>48</v>
      </c>
      <c r="Q108" s="1" t="s">
        <v>82</v>
      </c>
      <c r="R108" s="1" t="str">
        <f>IF(TRIM(sales_dataset[[#This Row],[ProductCategory]])="", R126, PROPER(TRIM(sales_dataset[[#This Row],[ProductCategory]])))</f>
        <v>Electronics</v>
      </c>
      <c r="T108" s="1" t="s">
        <v>19</v>
      </c>
      <c r="V108">
        <v>2</v>
      </c>
      <c r="W108" t="str">
        <f>IF(TRIM(sales_dataset[[#This Row],[Quantity]])="",V114,PROPER(TRIM(sales_dataset[[#This Row],[Quantity]])))</f>
        <v>2</v>
      </c>
      <c r="Z108">
        <f>IF(TRIM(sales_dataset[[#This Row],[UnitPrice]])="",Y110,PROPER(TRIM(sales_dataset[[#This Row],[UnitPrice]])))</f>
        <v>2000</v>
      </c>
      <c r="AC108" s="1">
        <f>IF(TRIM(sales_dataset[[#This Row],[TotalRevenue]])="",AB110,PROPER(TRIM(sales_dataset[[#This Row],[TotalRevenue]])))</f>
        <v>-2000</v>
      </c>
      <c r="AD108" s="1">
        <f>ABS(sales_dataset[[#This Row],[Column5]])</f>
        <v>2000</v>
      </c>
      <c r="AE108" s="1">
        <f>sales_dataset[[#This Row],[Column17]]*sales_dataset[[#This Row],[Column16]]</f>
        <v>0</v>
      </c>
    </row>
    <row r="109" spans="3:31" x14ac:dyDescent="0.3">
      <c r="C109" s="1" t="s">
        <v>19</v>
      </c>
      <c r="F109" s="1" t="s">
        <v>18</v>
      </c>
      <c r="H109" s="1" t="s">
        <v>147</v>
      </c>
      <c r="J109" s="1" t="s">
        <v>80</v>
      </c>
      <c r="K109" s="1" t="str">
        <f>IF(TRIM(sales_dataset[[#This Row],[Region]])="", J111, PROPER(TRIM(sales_dataset[[#This Row],[Region]])))</f>
        <v>East</v>
      </c>
      <c r="N109" s="1" t="s">
        <v>56</v>
      </c>
      <c r="Q109" s="1" t="s">
        <v>82</v>
      </c>
      <c r="R109" s="1" t="str">
        <f>IF(TRIM(sales_dataset[[#This Row],[ProductCategory]])="", R127, PROPER(TRIM(sales_dataset[[#This Row],[ProductCategory]])))</f>
        <v>Electronics</v>
      </c>
      <c r="T109" s="1" t="s">
        <v>95</v>
      </c>
      <c r="V109">
        <v>2</v>
      </c>
      <c r="W109" t="str">
        <f>IF(TRIM(sales_dataset[[#This Row],[Quantity]])="",V115,PROPER(TRIM(sales_dataset[[#This Row],[Quantity]])))</f>
        <v>2</v>
      </c>
      <c r="Y109">
        <v>-100</v>
      </c>
      <c r="Z109" t="str">
        <f>IF(TRIM(sales_dataset[[#This Row],[UnitPrice]])="",Y111,PROPER(TRIM(sales_dataset[[#This Row],[UnitPrice]])))</f>
        <v>-100</v>
      </c>
      <c r="AB109">
        <v>-200</v>
      </c>
      <c r="AC109" s="1" t="str">
        <f>IF(TRIM(sales_dataset[[#This Row],[TotalRevenue]])="",AB111,PROPER(TRIM(sales_dataset[[#This Row],[TotalRevenue]])))</f>
        <v>-200</v>
      </c>
      <c r="AD109" s="1">
        <f>ABS(sales_dataset[[#This Row],[Column5]])</f>
        <v>200</v>
      </c>
      <c r="AE109" s="1">
        <f>sales_dataset[[#This Row],[Column17]]*sales_dataset[[#This Row],[Column16]]</f>
        <v>0</v>
      </c>
    </row>
    <row r="110" spans="3:31" x14ac:dyDescent="0.3">
      <c r="C110" s="1" t="s">
        <v>16</v>
      </c>
      <c r="F110" s="1" t="s">
        <v>19</v>
      </c>
      <c r="H110" s="1" t="s">
        <v>54</v>
      </c>
      <c r="J110" s="1" t="s">
        <v>46</v>
      </c>
      <c r="K110" s="1" t="str">
        <f>IF(TRIM(sales_dataset[[#This Row],[Region]])="", J112, PROPER(TRIM(sales_dataset[[#This Row],[Region]])))</f>
        <v>North</v>
      </c>
      <c r="N110" s="1" t="s">
        <v>56</v>
      </c>
      <c r="Q110" s="1" t="s">
        <v>41</v>
      </c>
      <c r="R110" s="1" t="str">
        <f>IF(TRIM(sales_dataset[[#This Row],[ProductCategory]])="", R128, PROPER(TRIM(sales_dataset[[#This Row],[ProductCategory]])))</f>
        <v>Home</v>
      </c>
      <c r="T110" s="1" t="s">
        <v>76</v>
      </c>
      <c r="V110">
        <v>-1</v>
      </c>
      <c r="W110" t="str">
        <f>IF(TRIM(sales_dataset[[#This Row],[Quantity]])="",V116,PROPER(TRIM(sales_dataset[[#This Row],[Quantity]])))</f>
        <v>-1</v>
      </c>
      <c r="Y110">
        <v>2000</v>
      </c>
      <c r="Z110" t="str">
        <f>IF(TRIM(sales_dataset[[#This Row],[UnitPrice]])="",Y112,PROPER(TRIM(sales_dataset[[#This Row],[UnitPrice]])))</f>
        <v>2000</v>
      </c>
      <c r="AB110">
        <v>-2000</v>
      </c>
      <c r="AC110" s="1" t="str">
        <f>IF(TRIM(sales_dataset[[#This Row],[TotalRevenue]])="",AB112,PROPER(TRIM(sales_dataset[[#This Row],[TotalRevenue]])))</f>
        <v>-2000</v>
      </c>
      <c r="AD110" s="1">
        <f>ABS(sales_dataset[[#This Row],[Column5]])</f>
        <v>2000</v>
      </c>
      <c r="AE110" s="1">
        <f>sales_dataset[[#This Row],[Column17]]*sales_dataset[[#This Row],[Column16]]</f>
        <v>0</v>
      </c>
    </row>
    <row r="111" spans="3:31" x14ac:dyDescent="0.3">
      <c r="C111" s="1" t="s">
        <v>25</v>
      </c>
      <c r="F111" s="1" t="s">
        <v>60</v>
      </c>
      <c r="H111" s="1" t="s">
        <v>79</v>
      </c>
      <c r="J111" s="1" t="s">
        <v>19</v>
      </c>
      <c r="K111" s="1" t="str">
        <f>IF(TRIM(sales_dataset[[#This Row],[Region]])="", J113, PROPER(TRIM(sales_dataset[[#This Row],[Region]])))</f>
        <v>East</v>
      </c>
      <c r="N111" s="1" t="s">
        <v>48</v>
      </c>
      <c r="Q111" s="1" t="s">
        <v>32</v>
      </c>
      <c r="R111" s="1" t="str">
        <f>IF(TRIM(sales_dataset[[#This Row],[ProductCategory]])="", R129, PROPER(TRIM(sales_dataset[[#This Row],[ProductCategory]])))</f>
        <v>Electronics</v>
      </c>
      <c r="T111" s="1" t="s">
        <v>19</v>
      </c>
      <c r="V111">
        <v>4</v>
      </c>
      <c r="W111" t="str">
        <f>IF(TRIM(sales_dataset[[#This Row],[Quantity]])="",V117,PROPER(TRIM(sales_dataset[[#This Row],[Quantity]])))</f>
        <v>4</v>
      </c>
      <c r="Y111">
        <v>-100</v>
      </c>
      <c r="Z111" t="str">
        <f>IF(TRIM(sales_dataset[[#This Row],[UnitPrice]])="",Y113,PROPER(TRIM(sales_dataset[[#This Row],[UnitPrice]])))</f>
        <v>-100</v>
      </c>
      <c r="AB111">
        <v>-400</v>
      </c>
      <c r="AC111" s="1" t="str">
        <f>IF(TRIM(sales_dataset[[#This Row],[TotalRevenue]])="",AB113,PROPER(TRIM(sales_dataset[[#This Row],[TotalRevenue]])))</f>
        <v>-400</v>
      </c>
      <c r="AD111" s="1">
        <f>ABS(sales_dataset[[#This Row],[Column5]])</f>
        <v>400</v>
      </c>
      <c r="AE111" s="1">
        <f>sales_dataset[[#This Row],[Column17]]*sales_dataset[[#This Row],[Column16]]</f>
        <v>0</v>
      </c>
    </row>
    <row r="112" spans="3:31" x14ac:dyDescent="0.3">
      <c r="C112" s="1" t="s">
        <v>35</v>
      </c>
      <c r="F112" s="1" t="s">
        <v>18</v>
      </c>
      <c r="H112" s="1" t="s">
        <v>54</v>
      </c>
      <c r="J112" s="1" t="s">
        <v>19</v>
      </c>
      <c r="K112" s="1" t="str">
        <f>IF(TRIM(sales_dataset[[#This Row],[Region]])="", J114, PROPER(TRIM(sales_dataset[[#This Row],[Region]])))</f>
        <v>South</v>
      </c>
      <c r="N112" s="1" t="s">
        <v>48</v>
      </c>
      <c r="Q112" s="1" t="s">
        <v>41</v>
      </c>
      <c r="R112" s="1" t="str">
        <f>IF(TRIM(sales_dataset[[#This Row],[ProductCategory]])="", R130, PROPER(TRIM(sales_dataset[[#This Row],[ProductCategory]])))</f>
        <v>Home</v>
      </c>
      <c r="T112" s="1" t="s">
        <v>95</v>
      </c>
      <c r="V112">
        <v>1</v>
      </c>
      <c r="W112" t="str">
        <f>IF(TRIM(sales_dataset[[#This Row],[Quantity]])="",V118,PROPER(TRIM(sales_dataset[[#This Row],[Quantity]])))</f>
        <v>1</v>
      </c>
      <c r="Y112">
        <v>-100</v>
      </c>
      <c r="Z112" t="str">
        <f>IF(TRIM(sales_dataset[[#This Row],[UnitPrice]])="",Y114,PROPER(TRIM(sales_dataset[[#This Row],[UnitPrice]])))</f>
        <v>-100</v>
      </c>
      <c r="AB112">
        <v>-100</v>
      </c>
      <c r="AC112" s="1" t="str">
        <f>IF(TRIM(sales_dataset[[#This Row],[TotalRevenue]])="",AB114,PROPER(TRIM(sales_dataset[[#This Row],[TotalRevenue]])))</f>
        <v>-100</v>
      </c>
      <c r="AD112" s="1">
        <f>ABS(sales_dataset[[#This Row],[Column5]])</f>
        <v>100</v>
      </c>
      <c r="AE112" s="1">
        <f>sales_dataset[[#This Row],[Column17]]*sales_dataset[[#This Row],[Column16]]</f>
        <v>0</v>
      </c>
    </row>
    <row r="113" spans="3:31" x14ac:dyDescent="0.3">
      <c r="C113" s="1" t="s">
        <v>43</v>
      </c>
      <c r="F113" s="1" t="s">
        <v>53</v>
      </c>
      <c r="H113" s="1" t="s">
        <v>54</v>
      </c>
      <c r="J113" s="1" t="s">
        <v>80</v>
      </c>
      <c r="K113" s="1" t="str">
        <f>IF(TRIM(sales_dataset[[#This Row],[Region]])="", J115, PROPER(TRIM(sales_dataset[[#This Row],[Region]])))</f>
        <v>East</v>
      </c>
      <c r="N113" s="1" t="s">
        <v>39</v>
      </c>
      <c r="Q113" s="1" t="s">
        <v>19</v>
      </c>
      <c r="R113" s="1" t="str">
        <f>IF(TRIM(sales_dataset[[#This Row],[ProductCategory]])="", R131, PROPER(TRIM(sales_dataset[[#This Row],[ProductCategory]])))</f>
        <v>Electronics</v>
      </c>
      <c r="T113" s="1" t="s">
        <v>69</v>
      </c>
      <c r="V113">
        <v>2</v>
      </c>
      <c r="W113" t="str">
        <f>IF(TRIM(sales_dataset[[#This Row],[Quantity]])="",V119,PROPER(TRIM(sales_dataset[[#This Row],[Quantity]])))</f>
        <v>2</v>
      </c>
      <c r="Y113">
        <v>500</v>
      </c>
      <c r="Z113" t="str">
        <f>IF(TRIM(sales_dataset[[#This Row],[UnitPrice]])="",Y115,PROPER(TRIM(sales_dataset[[#This Row],[UnitPrice]])))</f>
        <v>500</v>
      </c>
      <c r="AB113">
        <v>1000</v>
      </c>
      <c r="AC113" s="1" t="str">
        <f>IF(TRIM(sales_dataset[[#This Row],[TotalRevenue]])="",AB115,PROPER(TRIM(sales_dataset[[#This Row],[TotalRevenue]])))</f>
        <v>1000</v>
      </c>
      <c r="AD113" s="1">
        <f>ABS(sales_dataset[[#This Row],[Column5]])</f>
        <v>1000</v>
      </c>
      <c r="AE113" s="1">
        <f>sales_dataset[[#This Row],[Column17]]*sales_dataset[[#This Row],[Column16]]</f>
        <v>0</v>
      </c>
    </row>
    <row r="114" spans="3:31" x14ac:dyDescent="0.3">
      <c r="C114" s="1" t="s">
        <v>51</v>
      </c>
      <c r="F114" s="1" t="s">
        <v>18</v>
      </c>
      <c r="H114" s="1" t="s">
        <v>28</v>
      </c>
      <c r="J114" s="1" t="s">
        <v>98</v>
      </c>
      <c r="K114" s="1" t="str">
        <f>IF(TRIM(sales_dataset[[#This Row],[Region]])="", J116, PROPER(TRIM(sales_dataset[[#This Row],[Region]])))</f>
        <v>South</v>
      </c>
      <c r="N114" s="1" t="s">
        <v>56</v>
      </c>
      <c r="Q114" s="1" t="s">
        <v>82</v>
      </c>
      <c r="R114" s="1" t="str">
        <f>IF(TRIM(sales_dataset[[#This Row],[ProductCategory]])="", R132, PROPER(TRIM(sales_dataset[[#This Row],[ProductCategory]])))</f>
        <v>Electronics</v>
      </c>
      <c r="T114" s="1" t="s">
        <v>95</v>
      </c>
      <c r="V114">
        <v>2</v>
      </c>
      <c r="W114" t="str">
        <f>IF(TRIM(sales_dataset[[#This Row],[Quantity]])="",V120,PROPER(TRIM(sales_dataset[[#This Row],[Quantity]])))</f>
        <v>2</v>
      </c>
      <c r="Y114">
        <v>2500</v>
      </c>
      <c r="Z114" t="str">
        <f>IF(TRIM(sales_dataset[[#This Row],[UnitPrice]])="",Y116,PROPER(TRIM(sales_dataset[[#This Row],[UnitPrice]])))</f>
        <v>2500</v>
      </c>
      <c r="AB114">
        <v>5000</v>
      </c>
      <c r="AC114" s="1" t="str">
        <f>IF(TRIM(sales_dataset[[#This Row],[TotalRevenue]])="",AB116,PROPER(TRIM(sales_dataset[[#This Row],[TotalRevenue]])))</f>
        <v>5000</v>
      </c>
      <c r="AD114" s="1">
        <f>ABS(sales_dataset[[#This Row],[Column5]])</f>
        <v>5000</v>
      </c>
      <c r="AE114" s="1">
        <f>sales_dataset[[#This Row],[Column17]]*sales_dataset[[#This Row],[Column16]]</f>
        <v>0</v>
      </c>
    </row>
    <row r="115" spans="3:31" x14ac:dyDescent="0.3">
      <c r="C115" s="1" t="s">
        <v>19</v>
      </c>
      <c r="F115" s="1" t="s">
        <v>19</v>
      </c>
      <c r="H115" s="1" t="s">
        <v>79</v>
      </c>
      <c r="J115" s="1" t="s">
        <v>98</v>
      </c>
      <c r="K115" s="1" t="str">
        <f>IF(TRIM(sales_dataset[[#This Row],[Region]])="", J117, PROPER(TRIM(sales_dataset[[#This Row],[Region]])))</f>
        <v>South</v>
      </c>
      <c r="N115" s="1" t="s">
        <v>39</v>
      </c>
      <c r="Q115" s="1" t="s">
        <v>41</v>
      </c>
      <c r="R115" s="1" t="str">
        <f>IF(TRIM(sales_dataset[[#This Row],[ProductCategory]])="", R133, PROPER(TRIM(sales_dataset[[#This Row],[ProductCategory]])))</f>
        <v>Home</v>
      </c>
      <c r="T115" s="1" t="s">
        <v>23</v>
      </c>
      <c r="W115">
        <f>IF(TRIM(sales_dataset[[#This Row],[Quantity]])="",V121,PROPER(TRIM(sales_dataset[[#This Row],[Quantity]])))</f>
        <v>5</v>
      </c>
      <c r="Y115">
        <v>2500</v>
      </c>
      <c r="Z115" t="str">
        <f>IF(TRIM(sales_dataset[[#This Row],[UnitPrice]])="",Y117,PROPER(TRIM(sales_dataset[[#This Row],[UnitPrice]])))</f>
        <v>2500</v>
      </c>
      <c r="AC115" s="1">
        <f>IF(TRIM(sales_dataset[[#This Row],[TotalRevenue]])="",AB117,PROPER(TRIM(sales_dataset[[#This Row],[TotalRevenue]])))</f>
        <v>-200</v>
      </c>
      <c r="AD115" s="1">
        <f>ABS(sales_dataset[[#This Row],[Column5]])</f>
        <v>200</v>
      </c>
      <c r="AE115" s="1">
        <f>sales_dataset[[#This Row],[Column17]]*sales_dataset[[#This Row],[Column16]]</f>
        <v>0</v>
      </c>
    </row>
    <row r="116" spans="3:31" x14ac:dyDescent="0.3">
      <c r="C116" s="1" t="s">
        <v>16</v>
      </c>
      <c r="F116" s="1" t="s">
        <v>118</v>
      </c>
      <c r="H116" s="1" t="s">
        <v>147</v>
      </c>
      <c r="J116" s="1" t="s">
        <v>46</v>
      </c>
      <c r="K116" s="1" t="str">
        <f>IF(TRIM(sales_dataset[[#This Row],[Region]])="", J118, PROPER(TRIM(sales_dataset[[#This Row],[Region]])))</f>
        <v>North</v>
      </c>
      <c r="N116" s="1" t="s">
        <v>21</v>
      </c>
      <c r="Q116" s="1" t="s">
        <v>19</v>
      </c>
      <c r="R116" s="1" t="str">
        <f>IF(TRIM(sales_dataset[[#This Row],[ProductCategory]])="", R134, PROPER(TRIM(sales_dataset[[#This Row],[ProductCategory]])))</f>
        <v>Electronics</v>
      </c>
      <c r="T116" s="1" t="s">
        <v>19</v>
      </c>
      <c r="V116">
        <v>2</v>
      </c>
      <c r="W116" t="str">
        <f>IF(TRIM(sales_dataset[[#This Row],[Quantity]])="",V122,PROPER(TRIM(sales_dataset[[#This Row],[Quantity]])))</f>
        <v>2</v>
      </c>
      <c r="Y116">
        <v>2500</v>
      </c>
      <c r="Z116" t="str">
        <f>IF(TRIM(sales_dataset[[#This Row],[UnitPrice]])="",Y118,PROPER(TRIM(sales_dataset[[#This Row],[UnitPrice]])))</f>
        <v>2500</v>
      </c>
      <c r="AB116">
        <v>5000</v>
      </c>
      <c r="AC116" s="1" t="str">
        <f>IF(TRIM(sales_dataset[[#This Row],[TotalRevenue]])="",AB118,PROPER(TRIM(sales_dataset[[#This Row],[TotalRevenue]])))</f>
        <v>5000</v>
      </c>
      <c r="AD116" s="1">
        <f>ABS(sales_dataset[[#This Row],[Column5]])</f>
        <v>5000</v>
      </c>
      <c r="AE116" s="1">
        <f>sales_dataset[[#This Row],[Column17]]*sales_dataset[[#This Row],[Column16]]</f>
        <v>0</v>
      </c>
    </row>
    <row r="117" spans="3:31" x14ac:dyDescent="0.3">
      <c r="C117" s="1" t="s">
        <v>25</v>
      </c>
      <c r="F117" s="1" t="s">
        <v>118</v>
      </c>
      <c r="H117" s="1" t="s">
        <v>73</v>
      </c>
      <c r="J117" s="1" t="s">
        <v>80</v>
      </c>
      <c r="K117" s="1" t="str">
        <f>IF(TRIM(sales_dataset[[#This Row],[Region]])="", J119, PROPER(TRIM(sales_dataset[[#This Row],[Region]])))</f>
        <v>East</v>
      </c>
      <c r="N117" s="1" t="s">
        <v>39</v>
      </c>
      <c r="Q117" s="1" t="s">
        <v>82</v>
      </c>
      <c r="R117" s="1" t="str">
        <f>IF(TRIM(sales_dataset[[#This Row],[ProductCategory]])="", R135, PROPER(TRIM(sales_dataset[[#This Row],[ProductCategory]])))</f>
        <v>Electronics</v>
      </c>
      <c r="T117" s="1" t="s">
        <v>76</v>
      </c>
      <c r="V117">
        <v>2</v>
      </c>
      <c r="W117" t="str">
        <f>IF(TRIM(sales_dataset[[#This Row],[Quantity]])="",V123,PROPER(TRIM(sales_dataset[[#This Row],[Quantity]])))</f>
        <v>2</v>
      </c>
      <c r="Y117">
        <v>-100</v>
      </c>
      <c r="Z117" t="str">
        <f>IF(TRIM(sales_dataset[[#This Row],[UnitPrice]])="",Y119,PROPER(TRIM(sales_dataset[[#This Row],[UnitPrice]])))</f>
        <v>-100</v>
      </c>
      <c r="AB117">
        <v>-200</v>
      </c>
      <c r="AC117" s="1" t="str">
        <f>IF(TRIM(sales_dataset[[#This Row],[TotalRevenue]])="",AB119,PROPER(TRIM(sales_dataset[[#This Row],[TotalRevenue]])))</f>
        <v>-200</v>
      </c>
      <c r="AD117" s="1">
        <f>ABS(sales_dataset[[#This Row],[Column5]])</f>
        <v>200</v>
      </c>
      <c r="AE117" s="1">
        <f>sales_dataset[[#This Row],[Column17]]*sales_dataset[[#This Row],[Column16]]</f>
        <v>0</v>
      </c>
    </row>
    <row r="118" spans="3:31" x14ac:dyDescent="0.3">
      <c r="C118" s="1" t="s">
        <v>35</v>
      </c>
      <c r="F118" s="1" t="s">
        <v>53</v>
      </c>
      <c r="H118" s="1" t="s">
        <v>73</v>
      </c>
      <c r="J118" s="1" t="s">
        <v>66</v>
      </c>
      <c r="K118" s="1" t="str">
        <f>IF(TRIM(sales_dataset[[#This Row],[Region]])="", J120, PROPER(TRIM(sales_dataset[[#This Row],[Region]])))</f>
        <v>West</v>
      </c>
      <c r="N118" s="1" t="s">
        <v>21</v>
      </c>
      <c r="Q118" s="1" t="s">
        <v>32</v>
      </c>
      <c r="R118" s="1" t="str">
        <f>IF(TRIM(sales_dataset[[#This Row],[ProductCategory]])="", R136, PROPER(TRIM(sales_dataset[[#This Row],[ProductCategory]])))</f>
        <v>Electronics</v>
      </c>
      <c r="T118" s="1" t="s">
        <v>19</v>
      </c>
      <c r="W118">
        <f>IF(TRIM(sales_dataset[[#This Row],[Quantity]])="",V124,PROPER(TRIM(sales_dataset[[#This Row],[Quantity]])))</f>
        <v>3</v>
      </c>
      <c r="Y118">
        <v>2000</v>
      </c>
      <c r="Z118" t="str">
        <f>IF(TRIM(sales_dataset[[#This Row],[UnitPrice]])="",Y120,PROPER(TRIM(sales_dataset[[#This Row],[UnitPrice]])))</f>
        <v>2000</v>
      </c>
      <c r="AC118" s="1">
        <f>IF(TRIM(sales_dataset[[#This Row],[TotalRevenue]])="",AB120,PROPER(TRIM(sales_dataset[[#This Row],[TotalRevenue]])))</f>
        <v>2500</v>
      </c>
      <c r="AD118" s="1">
        <f>ABS(sales_dataset[[#This Row],[Column5]])</f>
        <v>2500</v>
      </c>
      <c r="AE118" s="1">
        <f>sales_dataset[[#This Row],[Column17]]*sales_dataset[[#This Row],[Column16]]</f>
        <v>0</v>
      </c>
    </row>
    <row r="119" spans="3:31" x14ac:dyDescent="0.3">
      <c r="C119" s="1" t="s">
        <v>43</v>
      </c>
      <c r="F119" s="1" t="s">
        <v>27</v>
      </c>
      <c r="H119" s="1" t="s">
        <v>19</v>
      </c>
      <c r="J119" s="1" t="s">
        <v>19</v>
      </c>
      <c r="K119" s="1" t="str">
        <f>IF(TRIM(sales_dataset[[#This Row],[Region]])="", J121, PROPER(TRIM(sales_dataset[[#This Row],[Region]])))</f>
        <v/>
      </c>
      <c r="N119" s="1" t="s">
        <v>19</v>
      </c>
      <c r="Q119" s="1" t="s">
        <v>32</v>
      </c>
      <c r="R119" s="1" t="str">
        <f>IF(TRIM(sales_dataset[[#This Row],[ProductCategory]])="", R137, PROPER(TRIM(sales_dataset[[#This Row],[ProductCategory]])))</f>
        <v>Electronics</v>
      </c>
      <c r="T119" s="1" t="s">
        <v>95</v>
      </c>
      <c r="V119">
        <v>1</v>
      </c>
      <c r="W119" t="str">
        <f>IF(TRIM(sales_dataset[[#This Row],[Quantity]])="",V125,PROPER(TRIM(sales_dataset[[#This Row],[Quantity]])))</f>
        <v>1</v>
      </c>
      <c r="Z119">
        <f>IF(TRIM(sales_dataset[[#This Row],[UnitPrice]])="",Y121,PROPER(TRIM(sales_dataset[[#This Row],[UnitPrice]])))</f>
        <v>500</v>
      </c>
      <c r="AC119" s="1">
        <f>IF(TRIM(sales_dataset[[#This Row],[TotalRevenue]])="",AB121,PROPER(TRIM(sales_dataset[[#This Row],[TotalRevenue]])))</f>
        <v>2500</v>
      </c>
      <c r="AD119" s="1">
        <f>ABS(sales_dataset[[#This Row],[Column5]])</f>
        <v>2500</v>
      </c>
      <c r="AE119" s="1">
        <f>sales_dataset[[#This Row],[Column17]]*sales_dataset[[#This Row],[Column16]]</f>
        <v>0</v>
      </c>
    </row>
    <row r="120" spans="3:31" x14ac:dyDescent="0.3">
      <c r="C120" s="1" t="s">
        <v>51</v>
      </c>
      <c r="F120" s="1" t="s">
        <v>19</v>
      </c>
      <c r="H120" s="1" t="s">
        <v>73</v>
      </c>
      <c r="J120" s="1" t="s">
        <v>98</v>
      </c>
      <c r="K120" s="1" t="str">
        <f>IF(TRIM(sales_dataset[[#This Row],[Region]])="", J122, PROPER(TRIM(sales_dataset[[#This Row],[Region]])))</f>
        <v>South</v>
      </c>
      <c r="N120" s="1" t="s">
        <v>30</v>
      </c>
      <c r="Q120" s="1" t="s">
        <v>19</v>
      </c>
      <c r="R120" s="1" t="str">
        <f>IF(TRIM(sales_dataset[[#This Row],[ProductCategory]])="", R138, PROPER(TRIM(sales_dataset[[#This Row],[ProductCategory]])))</f>
        <v>Electronics</v>
      </c>
      <c r="T120" s="1" t="s">
        <v>76</v>
      </c>
      <c r="V120">
        <v>5</v>
      </c>
      <c r="W120" t="str">
        <f>IF(TRIM(sales_dataset[[#This Row],[Quantity]])="",V126,PROPER(TRIM(sales_dataset[[#This Row],[Quantity]])))</f>
        <v>5</v>
      </c>
      <c r="Y120">
        <v>500</v>
      </c>
      <c r="Z120" t="str">
        <f>IF(TRIM(sales_dataset[[#This Row],[UnitPrice]])="",Y122,PROPER(TRIM(sales_dataset[[#This Row],[UnitPrice]])))</f>
        <v>500</v>
      </c>
      <c r="AB120">
        <v>2500</v>
      </c>
      <c r="AC120" s="1" t="str">
        <f>IF(TRIM(sales_dataset[[#This Row],[TotalRevenue]])="",AB122,PROPER(TRIM(sales_dataset[[#This Row],[TotalRevenue]])))</f>
        <v>2500</v>
      </c>
      <c r="AD120" s="1">
        <f>ABS(sales_dataset[[#This Row],[Column5]])</f>
        <v>2500</v>
      </c>
      <c r="AE120" s="1">
        <f>sales_dataset[[#This Row],[Column17]]*sales_dataset[[#This Row],[Column16]]</f>
        <v>0</v>
      </c>
    </row>
    <row r="121" spans="3:31" x14ac:dyDescent="0.3">
      <c r="C121" s="1" t="s">
        <v>19</v>
      </c>
      <c r="F121" s="1" t="s">
        <v>72</v>
      </c>
      <c r="H121" s="1" t="s">
        <v>73</v>
      </c>
      <c r="J121" s="1" t="s">
        <v>19</v>
      </c>
      <c r="K121" s="1" t="str">
        <f>IF(TRIM(sales_dataset[[#This Row],[Region]])="", J123, PROPER(TRIM(sales_dataset[[#This Row],[Region]])))</f>
        <v>West</v>
      </c>
      <c r="N121" s="1" t="s">
        <v>56</v>
      </c>
      <c r="Q121" s="1" t="s">
        <v>41</v>
      </c>
      <c r="R121" s="1" t="str">
        <f>IF(TRIM(sales_dataset[[#This Row],[ProductCategory]])="", R139, PROPER(TRIM(sales_dataset[[#This Row],[ProductCategory]])))</f>
        <v>Home</v>
      </c>
      <c r="T121" s="1" t="s">
        <v>95</v>
      </c>
      <c r="V121">
        <v>5</v>
      </c>
      <c r="W121" t="str">
        <f>IF(TRIM(sales_dataset[[#This Row],[Quantity]])="",V127,PROPER(TRIM(sales_dataset[[#This Row],[Quantity]])))</f>
        <v>5</v>
      </c>
      <c r="Y121">
        <v>500</v>
      </c>
      <c r="Z121" t="str">
        <f>IF(TRIM(sales_dataset[[#This Row],[UnitPrice]])="",Y123,PROPER(TRIM(sales_dataset[[#This Row],[UnitPrice]])))</f>
        <v>500</v>
      </c>
      <c r="AB121">
        <v>2500</v>
      </c>
      <c r="AC121" s="1" t="str">
        <f>IF(TRIM(sales_dataset[[#This Row],[TotalRevenue]])="",AB123,PROPER(TRIM(sales_dataset[[#This Row],[TotalRevenue]])))</f>
        <v>2500</v>
      </c>
      <c r="AD121" s="1">
        <f>ABS(sales_dataset[[#This Row],[Column5]])</f>
        <v>2500</v>
      </c>
      <c r="AE121" s="1">
        <f>sales_dataset[[#This Row],[Column17]]*sales_dataset[[#This Row],[Column16]]</f>
        <v>0</v>
      </c>
    </row>
    <row r="122" spans="3:31" x14ac:dyDescent="0.3">
      <c r="C122" s="1" t="s">
        <v>16</v>
      </c>
      <c r="F122" s="1" t="s">
        <v>27</v>
      </c>
      <c r="H122" s="1" t="s">
        <v>147</v>
      </c>
      <c r="J122" s="1" t="s">
        <v>66</v>
      </c>
      <c r="K122" s="1" t="str">
        <f>IF(TRIM(sales_dataset[[#This Row],[Region]])="", J124, PROPER(TRIM(sales_dataset[[#This Row],[Region]])))</f>
        <v>West</v>
      </c>
      <c r="N122" s="1" t="s">
        <v>21</v>
      </c>
      <c r="Q122" s="1" t="s">
        <v>82</v>
      </c>
      <c r="R122" s="1" t="str">
        <f>IF(TRIM(sales_dataset[[#This Row],[ProductCategory]])="", R140, PROPER(TRIM(sales_dataset[[#This Row],[ProductCategory]])))</f>
        <v>Electronics</v>
      </c>
      <c r="T122" s="1" t="s">
        <v>87</v>
      </c>
      <c r="V122">
        <v>2</v>
      </c>
      <c r="W122" t="str">
        <f>IF(TRIM(sales_dataset[[#This Row],[Quantity]])="",V128,PROPER(TRIM(sales_dataset[[#This Row],[Quantity]])))</f>
        <v>2</v>
      </c>
      <c r="Y122">
        <v>-100</v>
      </c>
      <c r="Z122" t="str">
        <f>IF(TRIM(sales_dataset[[#This Row],[UnitPrice]])="",Y124,PROPER(TRIM(sales_dataset[[#This Row],[UnitPrice]])))</f>
        <v>-100</v>
      </c>
      <c r="AB122">
        <v>-200</v>
      </c>
      <c r="AC122" s="1" t="str">
        <f>IF(TRIM(sales_dataset[[#This Row],[TotalRevenue]])="",AB124,PROPER(TRIM(sales_dataset[[#This Row],[TotalRevenue]])))</f>
        <v>-200</v>
      </c>
      <c r="AD122" s="1">
        <f>ABS(sales_dataset[[#This Row],[Column5]])</f>
        <v>200</v>
      </c>
      <c r="AE122" s="1">
        <f>sales_dataset[[#This Row],[Column17]]*sales_dataset[[#This Row],[Column16]]</f>
        <v>0</v>
      </c>
    </row>
    <row r="123" spans="3:31" x14ac:dyDescent="0.3">
      <c r="C123" s="1" t="s">
        <v>25</v>
      </c>
      <c r="F123" s="1" t="s">
        <v>118</v>
      </c>
      <c r="H123" s="1" t="s">
        <v>73</v>
      </c>
      <c r="J123" s="1" t="s">
        <v>66</v>
      </c>
      <c r="K123" s="1" t="str">
        <f>IF(TRIM(sales_dataset[[#This Row],[Region]])="", J125, PROPER(TRIM(sales_dataset[[#This Row],[Region]])))</f>
        <v>West</v>
      </c>
      <c r="N123" s="1" t="s">
        <v>30</v>
      </c>
      <c r="Q123" s="1" t="s">
        <v>32</v>
      </c>
      <c r="R123" s="1" t="str">
        <f>IF(TRIM(sales_dataset[[#This Row],[ProductCategory]])="", R141, PROPER(TRIM(sales_dataset[[#This Row],[ProductCategory]])))</f>
        <v>Electronics</v>
      </c>
      <c r="T123" s="1" t="s">
        <v>19</v>
      </c>
      <c r="V123">
        <v>1</v>
      </c>
      <c r="W123" t="str">
        <f>IF(TRIM(sales_dataset[[#This Row],[Quantity]])="",V129,PROPER(TRIM(sales_dataset[[#This Row],[Quantity]])))</f>
        <v>1</v>
      </c>
      <c r="Y123">
        <v>2000</v>
      </c>
      <c r="Z123" t="str">
        <f>IF(TRIM(sales_dataset[[#This Row],[UnitPrice]])="",Y125,PROPER(TRIM(sales_dataset[[#This Row],[UnitPrice]])))</f>
        <v>2000</v>
      </c>
      <c r="AB123">
        <v>2000</v>
      </c>
      <c r="AC123" s="1" t="str">
        <f>IF(TRIM(sales_dataset[[#This Row],[TotalRevenue]])="",AB125,PROPER(TRIM(sales_dataset[[#This Row],[TotalRevenue]])))</f>
        <v>2000</v>
      </c>
      <c r="AD123" s="1">
        <f>ABS(sales_dataset[[#This Row],[Column5]])</f>
        <v>2000</v>
      </c>
      <c r="AE123" s="1">
        <f>sales_dataset[[#This Row],[Column17]]*sales_dataset[[#This Row],[Column16]]</f>
        <v>0</v>
      </c>
    </row>
    <row r="124" spans="3:31" x14ac:dyDescent="0.3">
      <c r="C124" s="1" t="s">
        <v>35</v>
      </c>
      <c r="F124" s="1" t="s">
        <v>27</v>
      </c>
      <c r="H124" s="1" t="s">
        <v>79</v>
      </c>
      <c r="J124" s="1" t="s">
        <v>37</v>
      </c>
      <c r="K124" s="1" t="str">
        <f>IF(TRIM(sales_dataset[[#This Row],[Region]])="", J126, PROPER(TRIM(sales_dataset[[#This Row],[Region]])))</f>
        <v>North</v>
      </c>
      <c r="N124" s="1" t="s">
        <v>48</v>
      </c>
      <c r="Q124" s="1" t="s">
        <v>19</v>
      </c>
      <c r="R124" s="1" t="str">
        <f>IF(TRIM(sales_dataset[[#This Row],[ProductCategory]])="", R142, PROPER(TRIM(sales_dataset[[#This Row],[ProductCategory]])))</f>
        <v>Clothing</v>
      </c>
      <c r="T124" s="1" t="s">
        <v>76</v>
      </c>
      <c r="V124">
        <v>3</v>
      </c>
      <c r="W124" t="str">
        <f>IF(TRIM(sales_dataset[[#This Row],[Quantity]])="",V130,PROPER(TRIM(sales_dataset[[#This Row],[Quantity]])))</f>
        <v>3</v>
      </c>
      <c r="Y124">
        <v>1500</v>
      </c>
      <c r="Z124" t="str">
        <f>IF(TRIM(sales_dataset[[#This Row],[UnitPrice]])="",Y126,PROPER(TRIM(sales_dataset[[#This Row],[UnitPrice]])))</f>
        <v>1500</v>
      </c>
      <c r="AB124">
        <v>4500</v>
      </c>
      <c r="AC124" s="1" t="str">
        <f>IF(TRIM(sales_dataset[[#This Row],[TotalRevenue]])="",AB126,PROPER(TRIM(sales_dataset[[#This Row],[TotalRevenue]])))</f>
        <v>4500</v>
      </c>
      <c r="AD124" s="1">
        <f>ABS(sales_dataset[[#This Row],[Column5]])</f>
        <v>4500</v>
      </c>
      <c r="AE124" s="1">
        <f>sales_dataset[[#This Row],[Column17]]*sales_dataset[[#This Row],[Column16]]</f>
        <v>0</v>
      </c>
    </row>
    <row r="125" spans="3:31" x14ac:dyDescent="0.3">
      <c r="C125" s="1" t="s">
        <v>43</v>
      </c>
      <c r="F125" s="1" t="s">
        <v>18</v>
      </c>
      <c r="H125" s="1" t="s">
        <v>79</v>
      </c>
      <c r="J125" s="1" t="s">
        <v>46</v>
      </c>
      <c r="K125" s="1" t="str">
        <f>IF(TRIM(sales_dataset[[#This Row],[Region]])="", J127, PROPER(TRIM(sales_dataset[[#This Row],[Region]])))</f>
        <v>North</v>
      </c>
      <c r="N125" s="1" t="s">
        <v>19</v>
      </c>
      <c r="Q125" s="1" t="s">
        <v>63</v>
      </c>
      <c r="R125" s="1" t="str">
        <f>IF(TRIM(sales_dataset[[#This Row],[ProductCategory]])="", R143, PROPER(TRIM(sales_dataset[[#This Row],[ProductCategory]])))</f>
        <v>Clothing</v>
      </c>
      <c r="T125" s="1" t="s">
        <v>95</v>
      </c>
      <c r="W125">
        <f>IF(TRIM(sales_dataset[[#This Row],[Quantity]])="",V131,PROPER(TRIM(sales_dataset[[#This Row],[Quantity]])))</f>
        <v>3</v>
      </c>
      <c r="Z125">
        <f>IF(TRIM(sales_dataset[[#This Row],[UnitPrice]])="",Y127,PROPER(TRIM(sales_dataset[[#This Row],[UnitPrice]])))</f>
        <v>1500</v>
      </c>
      <c r="AC125" s="1">
        <f>IF(TRIM(sales_dataset[[#This Row],[TotalRevenue]])="",AB127,PROPER(TRIM(sales_dataset[[#This Row],[TotalRevenue]])))</f>
        <v>-1500</v>
      </c>
      <c r="AD125" s="1">
        <f>ABS(sales_dataset[[#This Row],[Column5]])</f>
        <v>1500</v>
      </c>
      <c r="AE125" s="1">
        <f>sales_dataset[[#This Row],[Column17]]*sales_dataset[[#This Row],[Column16]]</f>
        <v>0</v>
      </c>
    </row>
    <row r="126" spans="3:31" x14ac:dyDescent="0.3">
      <c r="C126" s="1" t="s">
        <v>51</v>
      </c>
      <c r="F126" s="1" t="s">
        <v>18</v>
      </c>
      <c r="H126" s="1" t="s">
        <v>54</v>
      </c>
      <c r="J126" s="1" t="s">
        <v>46</v>
      </c>
      <c r="K126" s="1" t="str">
        <f>IF(TRIM(sales_dataset[[#This Row],[Region]])="", J128, PROPER(TRIM(sales_dataset[[#This Row],[Region]])))</f>
        <v>North</v>
      </c>
      <c r="N126" s="1" t="s">
        <v>39</v>
      </c>
      <c r="Q126" s="1" t="s">
        <v>41</v>
      </c>
      <c r="R126" s="1" t="str">
        <f>IF(TRIM(sales_dataset[[#This Row],[ProductCategory]])="", R144, PROPER(TRIM(sales_dataset[[#This Row],[ProductCategory]])))</f>
        <v>Home</v>
      </c>
      <c r="T126" s="1" t="s">
        <v>69</v>
      </c>
      <c r="W126">
        <f>IF(TRIM(sales_dataset[[#This Row],[Quantity]])="",V132,PROPER(TRIM(sales_dataset[[#This Row],[Quantity]])))</f>
        <v>-1</v>
      </c>
      <c r="Y126">
        <v>2500</v>
      </c>
      <c r="Z126" t="str">
        <f>IF(TRIM(sales_dataset[[#This Row],[UnitPrice]])="",Y128,PROPER(TRIM(sales_dataset[[#This Row],[UnitPrice]])))</f>
        <v>2500</v>
      </c>
      <c r="AC126" s="1">
        <f>IF(TRIM(sales_dataset[[#This Row],[TotalRevenue]])="",AB128,PROPER(TRIM(sales_dataset[[#This Row],[TotalRevenue]])))</f>
        <v>-50</v>
      </c>
      <c r="AD126" s="1">
        <f>ABS(sales_dataset[[#This Row],[Column5]])</f>
        <v>50</v>
      </c>
      <c r="AE126" s="1">
        <f>sales_dataset[[#This Row],[Column17]]*sales_dataset[[#This Row],[Column16]]</f>
        <v>0</v>
      </c>
    </row>
    <row r="127" spans="3:31" x14ac:dyDescent="0.3">
      <c r="C127" s="1" t="s">
        <v>19</v>
      </c>
      <c r="F127" s="1" t="s">
        <v>118</v>
      </c>
      <c r="H127" s="1" t="s">
        <v>19</v>
      </c>
      <c r="J127" s="1" t="s">
        <v>46</v>
      </c>
      <c r="K127" s="1" t="str">
        <f>IF(TRIM(sales_dataset[[#This Row],[Region]])="", J129, PROPER(TRIM(sales_dataset[[#This Row],[Region]])))</f>
        <v>North</v>
      </c>
      <c r="N127" s="1" t="s">
        <v>30</v>
      </c>
      <c r="Q127" s="1" t="s">
        <v>63</v>
      </c>
      <c r="R127" s="1" t="str">
        <f>IF(TRIM(sales_dataset[[#This Row],[ProductCategory]])="", R145, PROPER(TRIM(sales_dataset[[#This Row],[ProductCategory]])))</f>
        <v>Clothing</v>
      </c>
      <c r="T127" s="1" t="s">
        <v>76</v>
      </c>
      <c r="V127">
        <v>-1</v>
      </c>
      <c r="W127" t="str">
        <f>IF(TRIM(sales_dataset[[#This Row],[Quantity]])="",V133,PROPER(TRIM(sales_dataset[[#This Row],[Quantity]])))</f>
        <v>-1</v>
      </c>
      <c r="Y127">
        <v>1500</v>
      </c>
      <c r="Z127" t="str">
        <f>IF(TRIM(sales_dataset[[#This Row],[UnitPrice]])="",Y129,PROPER(TRIM(sales_dataset[[#This Row],[UnitPrice]])))</f>
        <v>1500</v>
      </c>
      <c r="AB127">
        <v>-1500</v>
      </c>
      <c r="AC127" s="1" t="str">
        <f>IF(TRIM(sales_dataset[[#This Row],[TotalRevenue]])="",AB129,PROPER(TRIM(sales_dataset[[#This Row],[TotalRevenue]])))</f>
        <v>-1500</v>
      </c>
      <c r="AD127" s="1">
        <f>ABS(sales_dataset[[#This Row],[Column5]])</f>
        <v>1500</v>
      </c>
      <c r="AE127" s="1">
        <f>sales_dataset[[#This Row],[Column17]]*sales_dataset[[#This Row],[Column16]]</f>
        <v>0</v>
      </c>
    </row>
    <row r="128" spans="3:31" x14ac:dyDescent="0.3">
      <c r="C128" s="1" t="s">
        <v>16</v>
      </c>
      <c r="F128" s="1" t="s">
        <v>19</v>
      </c>
      <c r="H128" s="1" t="s">
        <v>28</v>
      </c>
      <c r="J128" s="1" t="s">
        <v>80</v>
      </c>
      <c r="K128" s="1" t="str">
        <f>IF(TRIM(sales_dataset[[#This Row],[Region]])="", J130, PROPER(TRIM(sales_dataset[[#This Row],[Region]])))</f>
        <v>East</v>
      </c>
      <c r="N128" s="1" t="s">
        <v>21</v>
      </c>
      <c r="Q128" s="1" t="s">
        <v>41</v>
      </c>
      <c r="R128" s="1" t="str">
        <f>IF(TRIM(sales_dataset[[#This Row],[ProductCategory]])="", R146, PROPER(TRIM(sales_dataset[[#This Row],[ProductCategory]])))</f>
        <v>Home</v>
      </c>
      <c r="T128" s="1" t="s">
        <v>33</v>
      </c>
      <c r="V128">
        <v>1</v>
      </c>
      <c r="W128" t="str">
        <f>IF(TRIM(sales_dataset[[#This Row],[Quantity]])="",V134,PROPER(TRIM(sales_dataset[[#This Row],[Quantity]])))</f>
        <v>1</v>
      </c>
      <c r="Y128">
        <v>-100</v>
      </c>
      <c r="Z128" t="str">
        <f>IF(TRIM(sales_dataset[[#This Row],[UnitPrice]])="",Y130,PROPER(TRIM(sales_dataset[[#This Row],[UnitPrice]])))</f>
        <v>-100</v>
      </c>
      <c r="AB128">
        <v>-50</v>
      </c>
      <c r="AC128" s="1" t="str">
        <f>IF(TRIM(sales_dataset[[#This Row],[TotalRevenue]])="",AB130,PROPER(TRIM(sales_dataset[[#This Row],[TotalRevenue]])))</f>
        <v>-50</v>
      </c>
      <c r="AD128" s="1">
        <f>ABS(sales_dataset[[#This Row],[Column5]])</f>
        <v>50</v>
      </c>
      <c r="AE128" s="1">
        <f>sales_dataset[[#This Row],[Column17]]*sales_dataset[[#This Row],[Column16]]</f>
        <v>0</v>
      </c>
    </row>
    <row r="129" spans="3:31" x14ac:dyDescent="0.3">
      <c r="C129" s="1" t="s">
        <v>25</v>
      </c>
      <c r="F129" s="1" t="s">
        <v>118</v>
      </c>
      <c r="H129" s="1" t="s">
        <v>45</v>
      </c>
      <c r="J129" s="1" t="s">
        <v>98</v>
      </c>
      <c r="K129" s="1" t="str">
        <f>IF(TRIM(sales_dataset[[#This Row],[Region]])="", J131, PROPER(TRIM(sales_dataset[[#This Row],[Region]])))</f>
        <v>South</v>
      </c>
      <c r="N129" s="1" t="s">
        <v>56</v>
      </c>
      <c r="Q129" s="1" t="s">
        <v>82</v>
      </c>
      <c r="R129" s="1" t="str">
        <f>IF(TRIM(sales_dataset[[#This Row],[ProductCategory]])="", R147, PROPER(TRIM(sales_dataset[[#This Row],[ProductCategory]])))</f>
        <v>Electronics</v>
      </c>
      <c r="T129" s="1" t="s">
        <v>23</v>
      </c>
      <c r="V129">
        <v>4</v>
      </c>
      <c r="W129" t="str">
        <f>IF(TRIM(sales_dataset[[#This Row],[Quantity]])="",V135,PROPER(TRIM(sales_dataset[[#This Row],[Quantity]])))</f>
        <v>4</v>
      </c>
      <c r="Y129">
        <v>-100</v>
      </c>
      <c r="Z129" t="str">
        <f>IF(TRIM(sales_dataset[[#This Row],[UnitPrice]])="",Y131,PROPER(TRIM(sales_dataset[[#This Row],[UnitPrice]])))</f>
        <v>-100</v>
      </c>
      <c r="AB129">
        <v>-400</v>
      </c>
      <c r="AC129" s="1" t="str">
        <f>IF(TRIM(sales_dataset[[#This Row],[TotalRevenue]])="",AB131,PROPER(TRIM(sales_dataset[[#This Row],[TotalRevenue]])))</f>
        <v>-400</v>
      </c>
      <c r="AD129" s="1">
        <f>ABS(sales_dataset[[#This Row],[Column5]])</f>
        <v>400</v>
      </c>
      <c r="AE129" s="1">
        <f>sales_dataset[[#This Row],[Column17]]*sales_dataset[[#This Row],[Column16]]</f>
        <v>0</v>
      </c>
    </row>
    <row r="130" spans="3:31" x14ac:dyDescent="0.3">
      <c r="C130" s="1" t="s">
        <v>35</v>
      </c>
      <c r="F130" s="1" t="s">
        <v>27</v>
      </c>
      <c r="H130" s="1" t="s">
        <v>73</v>
      </c>
      <c r="J130" s="1" t="s">
        <v>98</v>
      </c>
      <c r="K130" s="1" t="str">
        <f>IF(TRIM(sales_dataset[[#This Row],[Region]])="", J132, PROPER(TRIM(sales_dataset[[#This Row],[Region]])))</f>
        <v>South</v>
      </c>
      <c r="N130" s="1" t="s">
        <v>19</v>
      </c>
      <c r="Q130" s="1" t="s">
        <v>19</v>
      </c>
      <c r="R130" s="1" t="str">
        <f>IF(TRIM(sales_dataset[[#This Row],[ProductCategory]])="", R148, PROPER(TRIM(sales_dataset[[#This Row],[ProductCategory]])))</f>
        <v>Home</v>
      </c>
      <c r="T130" s="1" t="s">
        <v>76</v>
      </c>
      <c r="W130">
        <f>IF(TRIM(sales_dataset[[#This Row],[Quantity]])="",V136,PROPER(TRIM(sales_dataset[[#This Row],[Quantity]])))</f>
        <v>5</v>
      </c>
      <c r="Y130">
        <v>-100</v>
      </c>
      <c r="Z130" t="str">
        <f>IF(TRIM(sales_dataset[[#This Row],[UnitPrice]])="",Y132,PROPER(TRIM(sales_dataset[[#This Row],[UnitPrice]])))</f>
        <v>-100</v>
      </c>
      <c r="AC130" s="1">
        <f>IF(TRIM(sales_dataset[[#This Row],[TotalRevenue]])="",AB132,PROPER(TRIM(sales_dataset[[#This Row],[TotalRevenue]])))</f>
        <v>-1000</v>
      </c>
      <c r="AD130" s="1">
        <f>ABS(sales_dataset[[#This Row],[Column5]])</f>
        <v>1000</v>
      </c>
      <c r="AE130" s="1">
        <f>sales_dataset[[#This Row],[Column17]]*sales_dataset[[#This Row],[Column16]]</f>
        <v>0</v>
      </c>
    </row>
    <row r="131" spans="3:31" x14ac:dyDescent="0.3">
      <c r="C131" s="1" t="s">
        <v>43</v>
      </c>
      <c r="F131" s="1" t="s">
        <v>27</v>
      </c>
      <c r="H131" s="1" t="s">
        <v>45</v>
      </c>
      <c r="J131" s="1" t="s">
        <v>37</v>
      </c>
      <c r="K131" s="1" t="str">
        <f>IF(TRIM(sales_dataset[[#This Row],[Region]])="", J133, PROPER(TRIM(sales_dataset[[#This Row],[Region]])))</f>
        <v>North</v>
      </c>
      <c r="N131" s="1" t="s">
        <v>48</v>
      </c>
      <c r="Q131" s="1" t="s">
        <v>82</v>
      </c>
      <c r="R131" s="1" t="str">
        <f>IF(TRIM(sales_dataset[[#This Row],[ProductCategory]])="", R149, PROPER(TRIM(sales_dataset[[#This Row],[ProductCategory]])))</f>
        <v>Electronics</v>
      </c>
      <c r="T131" s="1" t="s">
        <v>19</v>
      </c>
      <c r="V131">
        <v>3</v>
      </c>
      <c r="W131" t="str">
        <f>IF(TRIM(sales_dataset[[#This Row],[Quantity]])="",V137,PROPER(TRIM(sales_dataset[[#This Row],[Quantity]])))</f>
        <v>3</v>
      </c>
      <c r="Y131">
        <v>-100</v>
      </c>
      <c r="Z131" t="str">
        <f>IF(TRIM(sales_dataset[[#This Row],[UnitPrice]])="",Y133,PROPER(TRIM(sales_dataset[[#This Row],[UnitPrice]])))</f>
        <v>-100</v>
      </c>
      <c r="AB131">
        <v>-300</v>
      </c>
      <c r="AC131" s="1" t="str">
        <f>IF(TRIM(sales_dataset[[#This Row],[TotalRevenue]])="",AB133,PROPER(TRIM(sales_dataset[[#This Row],[TotalRevenue]])))</f>
        <v>-300</v>
      </c>
      <c r="AD131" s="1">
        <f>ABS(sales_dataset[[#This Row],[Column5]])</f>
        <v>300</v>
      </c>
      <c r="AE131" s="1">
        <f>sales_dataset[[#This Row],[Column17]]*sales_dataset[[#This Row],[Column16]]</f>
        <v>0</v>
      </c>
    </row>
    <row r="132" spans="3:31" x14ac:dyDescent="0.3">
      <c r="C132" s="1" t="s">
        <v>51</v>
      </c>
      <c r="F132" s="1" t="s">
        <v>18</v>
      </c>
      <c r="H132" s="1" t="s">
        <v>45</v>
      </c>
      <c r="J132" s="1" t="s">
        <v>19</v>
      </c>
      <c r="K132" s="1" t="str">
        <f>IF(TRIM(sales_dataset[[#This Row],[Region]])="", J134, PROPER(TRIM(sales_dataset[[#This Row],[Region]])))</f>
        <v>NORTH</v>
      </c>
      <c r="N132" s="1" t="s">
        <v>48</v>
      </c>
      <c r="Q132" s="1" t="s">
        <v>63</v>
      </c>
      <c r="R132" s="1" t="str">
        <f>IF(TRIM(sales_dataset[[#This Row],[ProductCategory]])="", R150, PROPER(TRIM(sales_dataset[[#This Row],[ProductCategory]])))</f>
        <v>Clothing</v>
      </c>
      <c r="T132" s="1" t="s">
        <v>87</v>
      </c>
      <c r="V132">
        <v>-1</v>
      </c>
      <c r="W132" t="str">
        <f>IF(TRIM(sales_dataset[[#This Row],[Quantity]])="",V138,PROPER(TRIM(sales_dataset[[#This Row],[Quantity]])))</f>
        <v>-1</v>
      </c>
      <c r="Y132">
        <v>2000</v>
      </c>
      <c r="Z132" t="str">
        <f>IF(TRIM(sales_dataset[[#This Row],[UnitPrice]])="",Y134,PROPER(TRIM(sales_dataset[[#This Row],[UnitPrice]])))</f>
        <v>2000</v>
      </c>
      <c r="AB132">
        <v>-1000</v>
      </c>
      <c r="AC132" s="1" t="str">
        <f>IF(TRIM(sales_dataset[[#This Row],[TotalRevenue]])="",AB134,PROPER(TRIM(sales_dataset[[#This Row],[TotalRevenue]])))</f>
        <v>-1000</v>
      </c>
      <c r="AD132" s="1">
        <f>ABS(sales_dataset[[#This Row],[Column5]])</f>
        <v>1000</v>
      </c>
      <c r="AE132" s="1">
        <f>sales_dataset[[#This Row],[Column17]]*sales_dataset[[#This Row],[Column16]]</f>
        <v>0</v>
      </c>
    </row>
    <row r="133" spans="3:31" x14ac:dyDescent="0.3">
      <c r="C133" s="1" t="s">
        <v>19</v>
      </c>
      <c r="F133" s="1" t="s">
        <v>19</v>
      </c>
      <c r="H133" s="1" t="s">
        <v>45</v>
      </c>
      <c r="J133" s="1" t="s">
        <v>37</v>
      </c>
      <c r="K133" s="1" t="str">
        <f>IF(TRIM(sales_dataset[[#This Row],[Region]])="", J135, PROPER(TRIM(sales_dataset[[#This Row],[Region]])))</f>
        <v>North</v>
      </c>
      <c r="N133" s="1" t="s">
        <v>30</v>
      </c>
      <c r="Q133" s="1" t="s">
        <v>19</v>
      </c>
      <c r="R133" s="1" t="str">
        <f>IF(TRIM(sales_dataset[[#This Row],[ProductCategory]])="", R151, PROPER(TRIM(sales_dataset[[#This Row],[ProductCategory]])))</f>
        <v>Home</v>
      </c>
      <c r="T133" s="1" t="s">
        <v>23</v>
      </c>
      <c r="V133">
        <v>5</v>
      </c>
      <c r="W133" t="str">
        <f>IF(TRIM(sales_dataset[[#This Row],[Quantity]])="",V139,PROPER(TRIM(sales_dataset[[#This Row],[Quantity]])))</f>
        <v>5</v>
      </c>
      <c r="Z133">
        <f>IF(TRIM(sales_dataset[[#This Row],[UnitPrice]])="",Y135,PROPER(TRIM(sales_dataset[[#This Row],[UnitPrice]])))</f>
        <v>-100</v>
      </c>
      <c r="AC133" s="1">
        <f>IF(TRIM(sales_dataset[[#This Row],[TotalRevenue]])="",AB135,PROPER(TRIM(sales_dataset[[#This Row],[TotalRevenue]])))</f>
        <v>-100</v>
      </c>
      <c r="AD133" s="1">
        <f>ABS(sales_dataset[[#This Row],[Column5]])</f>
        <v>100</v>
      </c>
      <c r="AE133" s="1">
        <f>sales_dataset[[#This Row],[Column17]]*sales_dataset[[#This Row],[Column16]]</f>
        <v>0</v>
      </c>
    </row>
    <row r="134" spans="3:31" x14ac:dyDescent="0.3">
      <c r="C134" s="1" t="s">
        <v>16</v>
      </c>
      <c r="F134" s="1" t="s">
        <v>72</v>
      </c>
      <c r="H134" s="1" t="s">
        <v>54</v>
      </c>
      <c r="J134" s="1" t="s">
        <v>37</v>
      </c>
      <c r="K134" s="1" t="str">
        <f>IF(TRIM(sales_dataset[[#This Row],[Region]])="", J136, PROPER(TRIM(sales_dataset[[#This Row],[Region]])))</f>
        <v>North</v>
      </c>
      <c r="N134" s="1" t="s">
        <v>30</v>
      </c>
      <c r="Q134" s="1" t="s">
        <v>82</v>
      </c>
      <c r="R134" s="1" t="str">
        <f>IF(TRIM(sales_dataset[[#This Row],[ProductCategory]])="", R152, PROPER(TRIM(sales_dataset[[#This Row],[ProductCategory]])))</f>
        <v>Electronics</v>
      </c>
      <c r="T134" s="1" t="s">
        <v>95</v>
      </c>
      <c r="V134">
        <v>5</v>
      </c>
      <c r="W134" t="str">
        <f>IF(TRIM(sales_dataset[[#This Row],[Quantity]])="",V140,PROPER(TRIM(sales_dataset[[#This Row],[Quantity]])))</f>
        <v>5</v>
      </c>
      <c r="Z134">
        <f>IF(TRIM(sales_dataset[[#This Row],[UnitPrice]])="",Y136,PROPER(TRIM(sales_dataset[[#This Row],[UnitPrice]])))</f>
        <v>0</v>
      </c>
      <c r="AC134" s="1">
        <f>IF(TRIM(sales_dataset[[#This Row],[TotalRevenue]])="",AB136,PROPER(TRIM(sales_dataset[[#This Row],[TotalRevenue]])))</f>
        <v>0</v>
      </c>
      <c r="AD134" s="1">
        <f>ABS(sales_dataset[[#This Row],[Column5]])</f>
        <v>0</v>
      </c>
      <c r="AE134" s="1">
        <f>sales_dataset[[#This Row],[Column17]]*sales_dataset[[#This Row],[Column16]]</f>
        <v>0</v>
      </c>
    </row>
    <row r="135" spans="3:31" x14ac:dyDescent="0.3">
      <c r="C135" s="1" t="s">
        <v>25</v>
      </c>
      <c r="F135" s="1" t="s">
        <v>53</v>
      </c>
      <c r="H135" s="1" t="s">
        <v>79</v>
      </c>
      <c r="J135" s="1" t="s">
        <v>66</v>
      </c>
      <c r="K135" s="1" t="str">
        <f>IF(TRIM(sales_dataset[[#This Row],[Region]])="", J137, PROPER(TRIM(sales_dataset[[#This Row],[Region]])))</f>
        <v>West</v>
      </c>
      <c r="N135" s="1" t="s">
        <v>39</v>
      </c>
      <c r="Q135" s="1" t="s">
        <v>82</v>
      </c>
      <c r="R135" s="1" t="str">
        <f>IF(TRIM(sales_dataset[[#This Row],[ProductCategory]])="", R153, PROPER(TRIM(sales_dataset[[#This Row],[ProductCategory]])))</f>
        <v>Electronics</v>
      </c>
      <c r="T135" s="1" t="s">
        <v>95</v>
      </c>
      <c r="V135">
        <v>1</v>
      </c>
      <c r="W135" t="str">
        <f>IF(TRIM(sales_dataset[[#This Row],[Quantity]])="",V141,PROPER(TRIM(sales_dataset[[#This Row],[Quantity]])))</f>
        <v>1</v>
      </c>
      <c r="Y135">
        <v>-100</v>
      </c>
      <c r="Z135" t="str">
        <f>IF(TRIM(sales_dataset[[#This Row],[UnitPrice]])="",Y137,PROPER(TRIM(sales_dataset[[#This Row],[UnitPrice]])))</f>
        <v>-100</v>
      </c>
      <c r="AB135">
        <v>-100</v>
      </c>
      <c r="AC135" s="1" t="str">
        <f>IF(TRIM(sales_dataset[[#This Row],[TotalRevenue]])="",AB137,PROPER(TRIM(sales_dataset[[#This Row],[TotalRevenue]])))</f>
        <v>-100</v>
      </c>
      <c r="AD135" s="1">
        <f>ABS(sales_dataset[[#This Row],[Column5]])</f>
        <v>100</v>
      </c>
      <c r="AE135" s="1">
        <f>sales_dataset[[#This Row],[Column17]]*sales_dataset[[#This Row],[Column16]]</f>
        <v>0</v>
      </c>
    </row>
    <row r="136" spans="3:31" x14ac:dyDescent="0.3">
      <c r="C136" s="1" t="s">
        <v>35</v>
      </c>
      <c r="F136" s="1" t="s">
        <v>72</v>
      </c>
      <c r="H136" s="1" t="s">
        <v>73</v>
      </c>
      <c r="J136" s="1" t="s">
        <v>46</v>
      </c>
      <c r="K136" s="1" t="str">
        <f>IF(TRIM(sales_dataset[[#This Row],[Region]])="", J138, PROPER(TRIM(sales_dataset[[#This Row],[Region]])))</f>
        <v>North</v>
      </c>
      <c r="N136" s="1" t="s">
        <v>48</v>
      </c>
      <c r="Q136" s="1" t="s">
        <v>82</v>
      </c>
      <c r="R136" s="1" t="str">
        <f>IF(TRIM(sales_dataset[[#This Row],[ProductCategory]])="", R154, PROPER(TRIM(sales_dataset[[#This Row],[ProductCategory]])))</f>
        <v>Electronics</v>
      </c>
      <c r="T136" s="1" t="s">
        <v>95</v>
      </c>
      <c r="V136">
        <v>5</v>
      </c>
      <c r="W136" t="str">
        <f>IF(TRIM(sales_dataset[[#This Row],[Quantity]])="",V142,PROPER(TRIM(sales_dataset[[#This Row],[Quantity]])))</f>
        <v>5</v>
      </c>
      <c r="Z136">
        <f>IF(TRIM(sales_dataset[[#This Row],[UnitPrice]])="",Y138,PROPER(TRIM(sales_dataset[[#This Row],[UnitPrice]])))</f>
        <v>-100</v>
      </c>
      <c r="AC136" s="1">
        <f>IF(TRIM(sales_dataset[[#This Row],[TotalRevenue]])="",AB138,PROPER(TRIM(sales_dataset[[#This Row],[TotalRevenue]])))</f>
        <v>0</v>
      </c>
      <c r="AD136" s="1">
        <f>ABS(sales_dataset[[#This Row],[Column5]])</f>
        <v>0</v>
      </c>
      <c r="AE136" s="1">
        <f>sales_dataset[[#This Row],[Column17]]*sales_dataset[[#This Row],[Column16]]</f>
        <v>0</v>
      </c>
    </row>
    <row r="137" spans="3:31" x14ac:dyDescent="0.3">
      <c r="C137" s="1" t="s">
        <v>43</v>
      </c>
      <c r="F137" s="1" t="s">
        <v>118</v>
      </c>
      <c r="H137" s="1" t="s">
        <v>147</v>
      </c>
      <c r="J137" s="1" t="s">
        <v>80</v>
      </c>
      <c r="K137" s="1" t="str">
        <f>IF(TRIM(sales_dataset[[#This Row],[Region]])="", J139, PROPER(TRIM(sales_dataset[[#This Row],[Region]])))</f>
        <v>East</v>
      </c>
      <c r="N137" s="1" t="s">
        <v>19</v>
      </c>
      <c r="Q137" s="1" t="s">
        <v>63</v>
      </c>
      <c r="R137" s="1" t="str">
        <f>IF(TRIM(sales_dataset[[#This Row],[ProductCategory]])="", R155, PROPER(TRIM(sales_dataset[[#This Row],[ProductCategory]])))</f>
        <v>Clothing</v>
      </c>
      <c r="T137" s="1" t="s">
        <v>19</v>
      </c>
      <c r="V137">
        <v>1</v>
      </c>
      <c r="W137" t="str">
        <f>IF(TRIM(sales_dataset[[#This Row],[Quantity]])="",V143,PROPER(TRIM(sales_dataset[[#This Row],[Quantity]])))</f>
        <v>1</v>
      </c>
      <c r="Y137">
        <v>1500</v>
      </c>
      <c r="Z137" t="str">
        <f>IF(TRIM(sales_dataset[[#This Row],[UnitPrice]])="",Y139,PROPER(TRIM(sales_dataset[[#This Row],[UnitPrice]])))</f>
        <v>1500</v>
      </c>
      <c r="AB137">
        <v>1500</v>
      </c>
      <c r="AC137" s="1" t="str">
        <f>IF(TRIM(sales_dataset[[#This Row],[TotalRevenue]])="",AB139,PROPER(TRIM(sales_dataset[[#This Row],[TotalRevenue]])))</f>
        <v>1500</v>
      </c>
      <c r="AD137" s="1">
        <f>ABS(sales_dataset[[#This Row],[Column5]])</f>
        <v>1500</v>
      </c>
      <c r="AE137" s="1">
        <f>sales_dataset[[#This Row],[Column17]]*sales_dataset[[#This Row],[Column16]]</f>
        <v>0</v>
      </c>
    </row>
    <row r="138" spans="3:31" x14ac:dyDescent="0.3">
      <c r="C138" s="1" t="s">
        <v>51</v>
      </c>
      <c r="F138" s="1" t="s">
        <v>27</v>
      </c>
      <c r="H138" s="1" t="s">
        <v>54</v>
      </c>
      <c r="J138" s="1" t="s">
        <v>98</v>
      </c>
      <c r="K138" s="1" t="str">
        <f>IF(TRIM(sales_dataset[[#This Row],[Region]])="", J140, PROPER(TRIM(sales_dataset[[#This Row],[Region]])))</f>
        <v>South</v>
      </c>
      <c r="N138" s="1" t="s">
        <v>19</v>
      </c>
      <c r="Q138" s="1" t="s">
        <v>82</v>
      </c>
      <c r="R138" s="1" t="str">
        <f>IF(TRIM(sales_dataset[[#This Row],[ProductCategory]])="", R156, PROPER(TRIM(sales_dataset[[#This Row],[ProductCategory]])))</f>
        <v>Electronics</v>
      </c>
      <c r="T138" s="1" t="s">
        <v>95</v>
      </c>
      <c r="W138">
        <f>IF(TRIM(sales_dataset[[#This Row],[Quantity]])="",V144,PROPER(TRIM(sales_dataset[[#This Row],[Quantity]])))</f>
        <v>0</v>
      </c>
      <c r="Y138">
        <v>-100</v>
      </c>
      <c r="Z138" t="str">
        <f>IF(TRIM(sales_dataset[[#This Row],[UnitPrice]])="",Y140,PROPER(TRIM(sales_dataset[[#This Row],[UnitPrice]])))</f>
        <v>-100</v>
      </c>
      <c r="AC138" s="1">
        <f>IF(TRIM(sales_dataset[[#This Row],[TotalRevenue]])="",AB140,PROPER(TRIM(sales_dataset[[#This Row],[TotalRevenue]])))</f>
        <v>0</v>
      </c>
      <c r="AD138" s="1">
        <f>ABS(sales_dataset[[#This Row],[Column5]])</f>
        <v>0</v>
      </c>
      <c r="AE138" s="1">
        <f>sales_dataset[[#This Row],[Column17]]*sales_dataset[[#This Row],[Column16]]</f>
        <v>0</v>
      </c>
    </row>
    <row r="139" spans="3:31" x14ac:dyDescent="0.3">
      <c r="C139" s="1" t="s">
        <v>19</v>
      </c>
      <c r="F139" s="1" t="s">
        <v>72</v>
      </c>
      <c r="H139" s="1" t="s">
        <v>19</v>
      </c>
      <c r="J139" s="1" t="s">
        <v>80</v>
      </c>
      <c r="K139" s="1" t="str">
        <f>IF(TRIM(sales_dataset[[#This Row],[Region]])="", J141, PROPER(TRIM(sales_dataset[[#This Row],[Region]])))</f>
        <v>East</v>
      </c>
      <c r="N139" s="1" t="s">
        <v>48</v>
      </c>
      <c r="Q139" s="1" t="s">
        <v>32</v>
      </c>
      <c r="R139" s="1" t="str">
        <f>IF(TRIM(sales_dataset[[#This Row],[ProductCategory]])="", R157, PROPER(TRIM(sales_dataset[[#This Row],[ProductCategory]])))</f>
        <v>Electronics</v>
      </c>
      <c r="T139" s="1" t="s">
        <v>87</v>
      </c>
      <c r="V139">
        <v>1</v>
      </c>
      <c r="W139" t="str">
        <f>IF(TRIM(sales_dataset[[#This Row],[Quantity]])="",V145,PROPER(TRIM(sales_dataset[[#This Row],[Quantity]])))</f>
        <v>1</v>
      </c>
      <c r="Y139">
        <v>1500</v>
      </c>
      <c r="Z139" t="str">
        <f>IF(TRIM(sales_dataset[[#This Row],[UnitPrice]])="",Y141,PROPER(TRIM(sales_dataset[[#This Row],[UnitPrice]])))</f>
        <v>1500</v>
      </c>
      <c r="AB139">
        <v>1500</v>
      </c>
      <c r="AC139" s="1" t="str">
        <f>IF(TRIM(sales_dataset[[#This Row],[TotalRevenue]])="",AB141,PROPER(TRIM(sales_dataset[[#This Row],[TotalRevenue]])))</f>
        <v>1500</v>
      </c>
      <c r="AD139" s="1">
        <f>ABS(sales_dataset[[#This Row],[Column5]])</f>
        <v>1500</v>
      </c>
      <c r="AE139" s="1">
        <f>sales_dataset[[#This Row],[Column17]]*sales_dataset[[#This Row],[Column16]]</f>
        <v>0</v>
      </c>
    </row>
    <row r="140" spans="3:31" x14ac:dyDescent="0.3">
      <c r="C140" s="1" t="s">
        <v>16</v>
      </c>
      <c r="F140" s="1" t="s">
        <v>19</v>
      </c>
      <c r="H140" s="1" t="s">
        <v>79</v>
      </c>
      <c r="J140" s="1" t="s">
        <v>46</v>
      </c>
      <c r="K140" s="1" t="str">
        <f>IF(TRIM(sales_dataset[[#This Row],[Region]])="", J142, PROPER(TRIM(sales_dataset[[#This Row],[Region]])))</f>
        <v>North</v>
      </c>
      <c r="N140" s="1" t="s">
        <v>39</v>
      </c>
      <c r="Q140" s="1" t="s">
        <v>41</v>
      </c>
      <c r="R140" s="1" t="str">
        <f>IF(TRIM(sales_dataset[[#This Row],[ProductCategory]])="", R158, PROPER(TRIM(sales_dataset[[#This Row],[ProductCategory]])))</f>
        <v>Home</v>
      </c>
      <c r="T140" s="1" t="s">
        <v>95</v>
      </c>
      <c r="W140">
        <f>IF(TRIM(sales_dataset[[#This Row],[Quantity]])="",V146,PROPER(TRIM(sales_dataset[[#This Row],[Quantity]])))</f>
        <v>4</v>
      </c>
      <c r="Y140">
        <v>2000</v>
      </c>
      <c r="Z140" t="str">
        <f>IF(TRIM(sales_dataset[[#This Row],[UnitPrice]])="",Y142,PROPER(TRIM(sales_dataset[[#This Row],[UnitPrice]])))</f>
        <v>2000</v>
      </c>
      <c r="AC140" s="1">
        <f>IF(TRIM(sales_dataset[[#This Row],[TotalRevenue]])="",AB142,PROPER(TRIM(sales_dataset[[#This Row],[TotalRevenue]])))</f>
        <v>1500</v>
      </c>
      <c r="AD140" s="1">
        <f>ABS(sales_dataset[[#This Row],[Column5]])</f>
        <v>1500</v>
      </c>
      <c r="AE140" s="1">
        <f>sales_dataset[[#This Row],[Column17]]*sales_dataset[[#This Row],[Column16]]</f>
        <v>0</v>
      </c>
    </row>
    <row r="141" spans="3:31" x14ac:dyDescent="0.3">
      <c r="C141" s="1" t="s">
        <v>25</v>
      </c>
      <c r="F141" s="1" t="s">
        <v>19</v>
      </c>
      <c r="H141" s="1" t="s">
        <v>19</v>
      </c>
      <c r="J141" s="1" t="s">
        <v>46</v>
      </c>
      <c r="K141" s="1" t="str">
        <f>IF(TRIM(sales_dataset[[#This Row],[Region]])="", J143, PROPER(TRIM(sales_dataset[[#This Row],[Region]])))</f>
        <v>North</v>
      </c>
      <c r="N141" s="1" t="s">
        <v>56</v>
      </c>
      <c r="Q141" s="1" t="s">
        <v>32</v>
      </c>
      <c r="R141" s="1" t="str">
        <f>IF(TRIM(sales_dataset[[#This Row],[ProductCategory]])="", R159, PROPER(TRIM(sales_dataset[[#This Row],[ProductCategory]])))</f>
        <v>Electronics</v>
      </c>
      <c r="T141" s="1" t="s">
        <v>69</v>
      </c>
      <c r="V141">
        <v>-1</v>
      </c>
      <c r="W141" t="str">
        <f>IF(TRIM(sales_dataset[[#This Row],[Quantity]])="",V147,PROPER(TRIM(sales_dataset[[#This Row],[Quantity]])))</f>
        <v>-1</v>
      </c>
      <c r="Y141">
        <v>2500</v>
      </c>
      <c r="Z141" t="str">
        <f>IF(TRIM(sales_dataset[[#This Row],[UnitPrice]])="",Y143,PROPER(TRIM(sales_dataset[[#This Row],[UnitPrice]])))</f>
        <v>2500</v>
      </c>
      <c r="AB141">
        <v>-2500</v>
      </c>
      <c r="AC141" s="1" t="str">
        <f>IF(TRIM(sales_dataset[[#This Row],[TotalRevenue]])="",AB143,PROPER(TRIM(sales_dataset[[#This Row],[TotalRevenue]])))</f>
        <v>-2500</v>
      </c>
      <c r="AD141" s="1">
        <f>ABS(sales_dataset[[#This Row],[Column5]])</f>
        <v>2500</v>
      </c>
      <c r="AE141" s="1">
        <f>sales_dataset[[#This Row],[Column17]]*sales_dataset[[#This Row],[Column16]]</f>
        <v>0</v>
      </c>
    </row>
    <row r="142" spans="3:31" x14ac:dyDescent="0.3">
      <c r="C142" s="1" t="s">
        <v>35</v>
      </c>
      <c r="F142" s="1" t="s">
        <v>27</v>
      </c>
      <c r="H142" s="1" t="s">
        <v>147</v>
      </c>
      <c r="J142" s="1" t="s">
        <v>98</v>
      </c>
      <c r="K142" s="1" t="str">
        <f>IF(TRIM(sales_dataset[[#This Row],[Region]])="", J144, PROPER(TRIM(sales_dataset[[#This Row],[Region]])))</f>
        <v>South</v>
      </c>
      <c r="N142" s="1" t="s">
        <v>39</v>
      </c>
      <c r="Q142" s="1" t="s">
        <v>63</v>
      </c>
      <c r="R142" s="1" t="str">
        <f>IF(TRIM(sales_dataset[[#This Row],[ProductCategory]])="", R160, PROPER(TRIM(sales_dataset[[#This Row],[ProductCategory]])))</f>
        <v>Clothing</v>
      </c>
      <c r="T142" s="1" t="s">
        <v>23</v>
      </c>
      <c r="V142">
        <v>1</v>
      </c>
      <c r="W142" t="str">
        <f>IF(TRIM(sales_dataset[[#This Row],[Quantity]])="",V148,PROPER(TRIM(sales_dataset[[#This Row],[Quantity]])))</f>
        <v>1</v>
      </c>
      <c r="Y142">
        <v>1500</v>
      </c>
      <c r="Z142" t="str">
        <f>IF(TRIM(sales_dataset[[#This Row],[UnitPrice]])="",Y144,PROPER(TRIM(sales_dataset[[#This Row],[UnitPrice]])))</f>
        <v>1500</v>
      </c>
      <c r="AB142">
        <v>1500</v>
      </c>
      <c r="AC142" s="1" t="str">
        <f>IF(TRIM(sales_dataset[[#This Row],[TotalRevenue]])="",AB144,PROPER(TRIM(sales_dataset[[#This Row],[TotalRevenue]])))</f>
        <v>1500</v>
      </c>
      <c r="AD142" s="1">
        <f>ABS(sales_dataset[[#This Row],[Column5]])</f>
        <v>1500</v>
      </c>
      <c r="AE142" s="1">
        <f>sales_dataset[[#This Row],[Column17]]*sales_dataset[[#This Row],[Column16]]</f>
        <v>0</v>
      </c>
    </row>
    <row r="143" spans="3:31" x14ac:dyDescent="0.3">
      <c r="C143" s="1" t="s">
        <v>43</v>
      </c>
      <c r="F143" s="1" t="s">
        <v>60</v>
      </c>
      <c r="H143" s="1" t="s">
        <v>19</v>
      </c>
      <c r="J143" s="1" t="s">
        <v>66</v>
      </c>
      <c r="K143" s="1" t="str">
        <f>IF(TRIM(sales_dataset[[#This Row],[Region]])="", J145, PROPER(TRIM(sales_dataset[[#This Row],[Region]])))</f>
        <v>West</v>
      </c>
      <c r="N143" s="1" t="s">
        <v>21</v>
      </c>
      <c r="Q143" s="1" t="s">
        <v>63</v>
      </c>
      <c r="R143" s="1" t="str">
        <f>IF(TRIM(sales_dataset[[#This Row],[ProductCategory]])="", R161, PROPER(TRIM(sales_dataset[[#This Row],[ProductCategory]])))</f>
        <v>Clothing</v>
      </c>
      <c r="T143" s="1" t="s">
        <v>19</v>
      </c>
      <c r="V143">
        <v>1</v>
      </c>
      <c r="W143" t="str">
        <f>IF(TRIM(sales_dataset[[#This Row],[Quantity]])="",V149,PROPER(TRIM(sales_dataset[[#This Row],[Quantity]])))</f>
        <v>1</v>
      </c>
      <c r="Y143">
        <v>-100</v>
      </c>
      <c r="Z143" t="str">
        <f>IF(TRIM(sales_dataset[[#This Row],[UnitPrice]])="",Y145,PROPER(TRIM(sales_dataset[[#This Row],[UnitPrice]])))</f>
        <v>-100</v>
      </c>
      <c r="AB143">
        <v>-100</v>
      </c>
      <c r="AC143" s="1" t="str">
        <f>IF(TRIM(sales_dataset[[#This Row],[TotalRevenue]])="",AB145,PROPER(TRIM(sales_dataset[[#This Row],[TotalRevenue]])))</f>
        <v>-100</v>
      </c>
      <c r="AD143" s="1">
        <f>ABS(sales_dataset[[#This Row],[Column5]])</f>
        <v>100</v>
      </c>
      <c r="AE143" s="1">
        <f>sales_dataset[[#This Row],[Column17]]*sales_dataset[[#This Row],[Column16]]</f>
        <v>0</v>
      </c>
    </row>
    <row r="144" spans="3:31" x14ac:dyDescent="0.3">
      <c r="C144" s="1" t="s">
        <v>51</v>
      </c>
      <c r="F144" s="1" t="s">
        <v>18</v>
      </c>
      <c r="H144" s="1" t="s">
        <v>79</v>
      </c>
      <c r="J144" s="1" t="s">
        <v>19</v>
      </c>
      <c r="K144" s="1" t="str">
        <f>IF(TRIM(sales_dataset[[#This Row],[Region]])="", J146, PROPER(TRIM(sales_dataset[[#This Row],[Region]])))</f>
        <v>West</v>
      </c>
      <c r="N144" s="1" t="s">
        <v>21</v>
      </c>
      <c r="Q144" s="1" t="s">
        <v>82</v>
      </c>
      <c r="R144" s="1" t="str">
        <f>IF(TRIM(sales_dataset[[#This Row],[ProductCategory]])="", R162, PROPER(TRIM(sales_dataset[[#This Row],[ProductCategory]])))</f>
        <v>Electronics</v>
      </c>
      <c r="T144" s="1" t="s">
        <v>76</v>
      </c>
      <c r="W144">
        <f>IF(TRIM(sales_dataset[[#This Row],[Quantity]])="",V150,PROPER(TRIM(sales_dataset[[#This Row],[Quantity]])))</f>
        <v>5</v>
      </c>
      <c r="Y144">
        <v>500</v>
      </c>
      <c r="Z144" t="str">
        <f>IF(TRIM(sales_dataset[[#This Row],[UnitPrice]])="",Y146,PROPER(TRIM(sales_dataset[[#This Row],[UnitPrice]])))</f>
        <v>500</v>
      </c>
      <c r="AC144" s="1">
        <f>IF(TRIM(sales_dataset[[#This Row],[TotalRevenue]])="",AB146,PROPER(TRIM(sales_dataset[[#This Row],[TotalRevenue]])))</f>
        <v>6000</v>
      </c>
      <c r="AD144" s="1">
        <f>ABS(sales_dataset[[#This Row],[Column5]])</f>
        <v>6000</v>
      </c>
      <c r="AE144" s="1">
        <f>sales_dataset[[#This Row],[Column17]]*sales_dataset[[#This Row],[Column16]]</f>
        <v>0</v>
      </c>
    </row>
    <row r="145" spans="3:31" x14ac:dyDescent="0.3">
      <c r="C145" s="1" t="s">
        <v>19</v>
      </c>
      <c r="F145" s="1" t="s">
        <v>53</v>
      </c>
      <c r="H145" s="1" t="s">
        <v>73</v>
      </c>
      <c r="J145" s="1" t="s">
        <v>37</v>
      </c>
      <c r="K145" s="1" t="str">
        <f>IF(TRIM(sales_dataset[[#This Row],[Region]])="", J147, PROPER(TRIM(sales_dataset[[#This Row],[Region]])))</f>
        <v>North</v>
      </c>
      <c r="N145" s="1" t="s">
        <v>30</v>
      </c>
      <c r="Q145" s="1" t="s">
        <v>19</v>
      </c>
      <c r="R145" s="1" t="str">
        <f>IF(TRIM(sales_dataset[[#This Row],[ProductCategory]])="", R163, PROPER(TRIM(sales_dataset[[#This Row],[ProductCategory]])))</f>
        <v>Electronics</v>
      </c>
      <c r="T145" s="1" t="s">
        <v>69</v>
      </c>
      <c r="V145">
        <v>1</v>
      </c>
      <c r="W145" t="str">
        <f>IF(TRIM(sales_dataset[[#This Row],[Quantity]])="",V151,PROPER(TRIM(sales_dataset[[#This Row],[Quantity]])))</f>
        <v>1</v>
      </c>
      <c r="Y145">
        <v>1500</v>
      </c>
      <c r="Z145" t="str">
        <f>IF(TRIM(sales_dataset[[#This Row],[UnitPrice]])="",Y147,PROPER(TRIM(sales_dataset[[#This Row],[UnitPrice]])))</f>
        <v>1500</v>
      </c>
      <c r="AB145">
        <v>1500</v>
      </c>
      <c r="AC145" s="1" t="str">
        <f>IF(TRIM(sales_dataset[[#This Row],[TotalRevenue]])="",AB147,PROPER(TRIM(sales_dataset[[#This Row],[TotalRevenue]])))</f>
        <v>1500</v>
      </c>
      <c r="AD145" s="1">
        <f>ABS(sales_dataset[[#This Row],[Column5]])</f>
        <v>1500</v>
      </c>
      <c r="AE145" s="1">
        <f>sales_dataset[[#This Row],[Column17]]*sales_dataset[[#This Row],[Column16]]</f>
        <v>0</v>
      </c>
    </row>
    <row r="146" spans="3:31" x14ac:dyDescent="0.3">
      <c r="C146" s="1" t="s">
        <v>16</v>
      </c>
      <c r="F146" s="1" t="s">
        <v>27</v>
      </c>
      <c r="H146" s="1" t="s">
        <v>54</v>
      </c>
      <c r="J146" s="1" t="s">
        <v>66</v>
      </c>
      <c r="K146" s="1" t="str">
        <f>IF(TRIM(sales_dataset[[#This Row],[Region]])="", J148, PROPER(TRIM(sales_dataset[[#This Row],[Region]])))</f>
        <v>West</v>
      </c>
      <c r="N146" s="1" t="s">
        <v>39</v>
      </c>
      <c r="Q146" s="1" t="s">
        <v>32</v>
      </c>
      <c r="R146" s="1" t="str">
        <f>IF(TRIM(sales_dataset[[#This Row],[ProductCategory]])="", R164, PROPER(TRIM(sales_dataset[[#This Row],[ProductCategory]])))</f>
        <v>Electronics</v>
      </c>
      <c r="T146" s="1" t="s">
        <v>69</v>
      </c>
      <c r="V146">
        <v>4</v>
      </c>
      <c r="W146" t="str">
        <f>IF(TRIM(sales_dataset[[#This Row],[Quantity]])="",V152,PROPER(TRIM(sales_dataset[[#This Row],[Quantity]])))</f>
        <v>4</v>
      </c>
      <c r="Y146">
        <v>1500</v>
      </c>
      <c r="Z146" t="str">
        <f>IF(TRIM(sales_dataset[[#This Row],[UnitPrice]])="",Y148,PROPER(TRIM(sales_dataset[[#This Row],[UnitPrice]])))</f>
        <v>1500</v>
      </c>
      <c r="AB146">
        <v>6000</v>
      </c>
      <c r="AC146" s="1" t="str">
        <f>IF(TRIM(sales_dataset[[#This Row],[TotalRevenue]])="",AB148,PROPER(TRIM(sales_dataset[[#This Row],[TotalRevenue]])))</f>
        <v>6000</v>
      </c>
      <c r="AD146" s="1">
        <f>ABS(sales_dataset[[#This Row],[Column5]])</f>
        <v>6000</v>
      </c>
      <c r="AE146" s="1">
        <f>sales_dataset[[#This Row],[Column17]]*sales_dataset[[#This Row],[Column16]]</f>
        <v>0</v>
      </c>
    </row>
    <row r="147" spans="3:31" x14ac:dyDescent="0.3">
      <c r="C147" s="1" t="s">
        <v>25</v>
      </c>
      <c r="F147" s="1" t="s">
        <v>53</v>
      </c>
      <c r="H147" s="1" t="s">
        <v>45</v>
      </c>
      <c r="J147" s="1" t="s">
        <v>46</v>
      </c>
      <c r="K147" s="1" t="str">
        <f>IF(TRIM(sales_dataset[[#This Row],[Region]])="", J149, PROPER(TRIM(sales_dataset[[#This Row],[Region]])))</f>
        <v>North</v>
      </c>
      <c r="N147" s="1" t="s">
        <v>39</v>
      </c>
      <c r="Q147" s="1" t="s">
        <v>63</v>
      </c>
      <c r="R147" s="1" t="str">
        <f>IF(TRIM(sales_dataset[[#This Row],[ProductCategory]])="", R165, PROPER(TRIM(sales_dataset[[#This Row],[ProductCategory]])))</f>
        <v>Clothing</v>
      </c>
      <c r="T147" s="1" t="s">
        <v>69</v>
      </c>
      <c r="V147">
        <v>4</v>
      </c>
      <c r="W147" t="str">
        <f>IF(TRIM(sales_dataset[[#This Row],[Quantity]])="",V153,PROPER(TRIM(sales_dataset[[#This Row],[Quantity]])))</f>
        <v>4</v>
      </c>
      <c r="Y147">
        <v>-100</v>
      </c>
      <c r="Z147" t="str">
        <f>IF(TRIM(sales_dataset[[#This Row],[UnitPrice]])="",Y149,PROPER(TRIM(sales_dataset[[#This Row],[UnitPrice]])))</f>
        <v>-100</v>
      </c>
      <c r="AB147">
        <v>-400</v>
      </c>
      <c r="AC147" s="1" t="str">
        <f>IF(TRIM(sales_dataset[[#This Row],[TotalRevenue]])="",AB149,PROPER(TRIM(sales_dataset[[#This Row],[TotalRevenue]])))</f>
        <v>-400</v>
      </c>
      <c r="AD147" s="1">
        <f>ABS(sales_dataset[[#This Row],[Column5]])</f>
        <v>400</v>
      </c>
      <c r="AE147" s="1">
        <f>sales_dataset[[#This Row],[Column17]]*sales_dataset[[#This Row],[Column16]]</f>
        <v>0</v>
      </c>
    </row>
    <row r="148" spans="3:31" x14ac:dyDescent="0.3">
      <c r="C148" s="1" t="s">
        <v>35</v>
      </c>
      <c r="F148" s="1" t="s">
        <v>19</v>
      </c>
      <c r="H148" s="1" t="s">
        <v>54</v>
      </c>
      <c r="J148" s="1" t="s">
        <v>46</v>
      </c>
      <c r="K148" s="1" t="str">
        <f>IF(TRIM(sales_dataset[[#This Row],[Region]])="", J150, PROPER(TRIM(sales_dataset[[#This Row],[Region]])))</f>
        <v>North</v>
      </c>
      <c r="N148" s="1" t="s">
        <v>19</v>
      </c>
      <c r="Q148" s="1" t="s">
        <v>41</v>
      </c>
      <c r="R148" s="1" t="str">
        <f>IF(TRIM(sales_dataset[[#This Row],[ProductCategory]])="", R166, PROPER(TRIM(sales_dataset[[#This Row],[ProductCategory]])))</f>
        <v>Home</v>
      </c>
      <c r="T148" s="1" t="s">
        <v>19</v>
      </c>
      <c r="V148">
        <v>4</v>
      </c>
      <c r="W148" t="str">
        <f>IF(TRIM(sales_dataset[[#This Row],[Quantity]])="",V154,PROPER(TRIM(sales_dataset[[#This Row],[Quantity]])))</f>
        <v>4</v>
      </c>
      <c r="Z148">
        <f>IF(TRIM(sales_dataset[[#This Row],[UnitPrice]])="",Y150,PROPER(TRIM(sales_dataset[[#This Row],[UnitPrice]])))</f>
        <v>2500</v>
      </c>
      <c r="AC148" s="1">
        <f>IF(TRIM(sales_dataset[[#This Row],[TotalRevenue]])="",AB150,PROPER(TRIM(sales_dataset[[#This Row],[TotalRevenue]])))</f>
        <v>12500</v>
      </c>
      <c r="AD148" s="1">
        <f>ABS(sales_dataset[[#This Row],[Column5]])</f>
        <v>12500</v>
      </c>
      <c r="AE148" s="1">
        <f>sales_dataset[[#This Row],[Column17]]*sales_dataset[[#This Row],[Column16]]</f>
        <v>0</v>
      </c>
    </row>
    <row r="149" spans="3:31" x14ac:dyDescent="0.3">
      <c r="C149" s="1" t="s">
        <v>43</v>
      </c>
      <c r="F149" s="1" t="s">
        <v>27</v>
      </c>
      <c r="H149" s="1" t="s">
        <v>54</v>
      </c>
      <c r="J149" s="1" t="s">
        <v>66</v>
      </c>
      <c r="K149" s="1" t="str">
        <f>IF(TRIM(sales_dataset[[#This Row],[Region]])="", J151, PROPER(TRIM(sales_dataset[[#This Row],[Region]])))</f>
        <v>West</v>
      </c>
      <c r="N149" s="1" t="s">
        <v>30</v>
      </c>
      <c r="Q149" s="1" t="s">
        <v>63</v>
      </c>
      <c r="R149" s="1" t="str">
        <f>IF(TRIM(sales_dataset[[#This Row],[ProductCategory]])="", R167, PROPER(TRIM(sales_dataset[[#This Row],[ProductCategory]])))</f>
        <v>Clothing</v>
      </c>
      <c r="T149" s="1" t="s">
        <v>69</v>
      </c>
      <c r="V149">
        <v>1</v>
      </c>
      <c r="W149" t="str">
        <f>IF(TRIM(sales_dataset[[#This Row],[Quantity]])="",V155,PROPER(TRIM(sales_dataset[[#This Row],[Quantity]])))</f>
        <v>1</v>
      </c>
      <c r="Y149">
        <v>500</v>
      </c>
      <c r="Z149" t="str">
        <f>IF(TRIM(sales_dataset[[#This Row],[UnitPrice]])="",Y151,PROPER(TRIM(sales_dataset[[#This Row],[UnitPrice]])))</f>
        <v>500</v>
      </c>
      <c r="AB149">
        <v>500</v>
      </c>
      <c r="AC149" s="1" t="str">
        <f>IF(TRIM(sales_dataset[[#This Row],[TotalRevenue]])="",AB151,PROPER(TRIM(sales_dataset[[#This Row],[TotalRevenue]])))</f>
        <v>500</v>
      </c>
      <c r="AD149" s="1">
        <f>ABS(sales_dataset[[#This Row],[Column5]])</f>
        <v>500</v>
      </c>
      <c r="AE149" s="1">
        <f>sales_dataset[[#This Row],[Column17]]*sales_dataset[[#This Row],[Column16]]</f>
        <v>0</v>
      </c>
    </row>
    <row r="150" spans="3:31" x14ac:dyDescent="0.3">
      <c r="C150" s="1" t="s">
        <v>51</v>
      </c>
      <c r="F150" s="1" t="s">
        <v>27</v>
      </c>
      <c r="H150" s="1" t="s">
        <v>73</v>
      </c>
      <c r="J150" s="1" t="s">
        <v>37</v>
      </c>
      <c r="K150" s="1" t="str">
        <f>IF(TRIM(sales_dataset[[#This Row],[Region]])="", J152, PROPER(TRIM(sales_dataset[[#This Row],[Region]])))</f>
        <v>North</v>
      </c>
      <c r="N150" s="1" t="s">
        <v>19</v>
      </c>
      <c r="Q150" s="1" t="s">
        <v>32</v>
      </c>
      <c r="R150" s="1" t="str">
        <f>IF(TRIM(sales_dataset[[#This Row],[ProductCategory]])="", R168, PROPER(TRIM(sales_dataset[[#This Row],[ProductCategory]])))</f>
        <v>Electronics</v>
      </c>
      <c r="T150" s="1" t="s">
        <v>69</v>
      </c>
      <c r="V150">
        <v>5</v>
      </c>
      <c r="W150" t="str">
        <f>IF(TRIM(sales_dataset[[#This Row],[Quantity]])="",V156,PROPER(TRIM(sales_dataset[[#This Row],[Quantity]])))</f>
        <v>5</v>
      </c>
      <c r="Y150">
        <v>2500</v>
      </c>
      <c r="Z150" t="str">
        <f>IF(TRIM(sales_dataset[[#This Row],[UnitPrice]])="",Y152,PROPER(TRIM(sales_dataset[[#This Row],[UnitPrice]])))</f>
        <v>2500</v>
      </c>
      <c r="AB150">
        <v>12500</v>
      </c>
      <c r="AC150" s="1" t="str">
        <f>IF(TRIM(sales_dataset[[#This Row],[TotalRevenue]])="",AB152,PROPER(TRIM(sales_dataset[[#This Row],[TotalRevenue]])))</f>
        <v>12500</v>
      </c>
      <c r="AD150" s="1">
        <f>ABS(sales_dataset[[#This Row],[Column5]])</f>
        <v>12500</v>
      </c>
      <c r="AE150" s="1">
        <f>sales_dataset[[#This Row],[Column17]]*sales_dataset[[#This Row],[Column16]]</f>
        <v>0</v>
      </c>
    </row>
    <row r="151" spans="3:31" x14ac:dyDescent="0.3">
      <c r="C151" s="1" t="s">
        <v>19</v>
      </c>
      <c r="F151" s="1" t="s">
        <v>53</v>
      </c>
      <c r="H151" s="1" t="s">
        <v>45</v>
      </c>
      <c r="J151" s="1" t="s">
        <v>37</v>
      </c>
      <c r="K151" s="1" t="str">
        <f>IF(TRIM(sales_dataset[[#This Row],[Region]])="", J153, PROPER(TRIM(sales_dataset[[#This Row],[Region]])))</f>
        <v>North</v>
      </c>
      <c r="N151" s="1" t="s">
        <v>56</v>
      </c>
      <c r="Q151" s="1" t="s">
        <v>41</v>
      </c>
      <c r="R151" s="1" t="str">
        <f>IF(TRIM(sales_dataset[[#This Row],[ProductCategory]])="", R169, PROPER(TRIM(sales_dataset[[#This Row],[ProductCategory]])))</f>
        <v>Home</v>
      </c>
      <c r="T151" s="1" t="s">
        <v>23</v>
      </c>
      <c r="V151">
        <v>3</v>
      </c>
      <c r="W151" t="str">
        <f>IF(TRIM(sales_dataset[[#This Row],[Quantity]])="",V157,PROPER(TRIM(sales_dataset[[#This Row],[Quantity]])))</f>
        <v>3</v>
      </c>
      <c r="Y151">
        <v>500</v>
      </c>
      <c r="Z151" t="str">
        <f>IF(TRIM(sales_dataset[[#This Row],[UnitPrice]])="",Y153,PROPER(TRIM(sales_dataset[[#This Row],[UnitPrice]])))</f>
        <v>500</v>
      </c>
      <c r="AB151">
        <v>1500</v>
      </c>
      <c r="AC151" s="1" t="str">
        <f>IF(TRIM(sales_dataset[[#This Row],[TotalRevenue]])="",AB153,PROPER(TRIM(sales_dataset[[#This Row],[TotalRevenue]])))</f>
        <v>1500</v>
      </c>
      <c r="AD151" s="1">
        <f>ABS(sales_dataset[[#This Row],[Column5]])</f>
        <v>1500</v>
      </c>
      <c r="AE151" s="1">
        <f>sales_dataset[[#This Row],[Column17]]*sales_dataset[[#This Row],[Column16]]</f>
        <v>0</v>
      </c>
    </row>
    <row r="152" spans="3:31" x14ac:dyDescent="0.3">
      <c r="C152" s="1" t="s">
        <v>16</v>
      </c>
      <c r="F152" s="1" t="s">
        <v>19</v>
      </c>
      <c r="H152" s="1" t="s">
        <v>45</v>
      </c>
      <c r="J152" s="1" t="s">
        <v>46</v>
      </c>
      <c r="K152" s="1" t="str">
        <f>IF(TRIM(sales_dataset[[#This Row],[Region]])="", J154, PROPER(TRIM(sales_dataset[[#This Row],[Region]])))</f>
        <v>North</v>
      </c>
      <c r="N152" s="1" t="s">
        <v>39</v>
      </c>
      <c r="Q152" s="1" t="s">
        <v>41</v>
      </c>
      <c r="R152" s="1" t="str">
        <f>IF(TRIM(sales_dataset[[#This Row],[ProductCategory]])="", R170, PROPER(TRIM(sales_dataset[[#This Row],[ProductCategory]])))</f>
        <v>Home</v>
      </c>
      <c r="T152" s="1" t="s">
        <v>76</v>
      </c>
      <c r="V152">
        <v>4</v>
      </c>
      <c r="W152" t="str">
        <f>IF(TRIM(sales_dataset[[#This Row],[Quantity]])="",V158,PROPER(TRIM(sales_dataset[[#This Row],[Quantity]])))</f>
        <v>4</v>
      </c>
      <c r="Y152">
        <v>2500</v>
      </c>
      <c r="Z152" t="str">
        <f>IF(TRIM(sales_dataset[[#This Row],[UnitPrice]])="",Y154,PROPER(TRIM(sales_dataset[[#This Row],[UnitPrice]])))</f>
        <v>2500</v>
      </c>
      <c r="AB152">
        <v>5000</v>
      </c>
      <c r="AC152" s="1" t="str">
        <f>IF(TRIM(sales_dataset[[#This Row],[TotalRevenue]])="",AB154,PROPER(TRIM(sales_dataset[[#This Row],[TotalRevenue]])))</f>
        <v>5000</v>
      </c>
      <c r="AD152" s="1">
        <f>ABS(sales_dataset[[#This Row],[Column5]])</f>
        <v>5000</v>
      </c>
      <c r="AE152" s="1">
        <f>sales_dataset[[#This Row],[Column17]]*sales_dataset[[#This Row],[Column16]]</f>
        <v>0</v>
      </c>
    </row>
    <row r="153" spans="3:31" x14ac:dyDescent="0.3">
      <c r="C153" s="1" t="s">
        <v>25</v>
      </c>
      <c r="F153" s="1" t="s">
        <v>19</v>
      </c>
      <c r="H153" s="1" t="s">
        <v>28</v>
      </c>
      <c r="J153" s="1" t="s">
        <v>19</v>
      </c>
      <c r="K153" s="1" t="str">
        <f>IF(TRIM(sales_dataset[[#This Row],[Region]])="", J155, PROPER(TRIM(sales_dataset[[#This Row],[Region]])))</f>
        <v>NORTH</v>
      </c>
      <c r="N153" s="1" t="s">
        <v>19</v>
      </c>
      <c r="Q153" s="1" t="s">
        <v>82</v>
      </c>
      <c r="R153" s="1" t="str">
        <f>IF(TRIM(sales_dataset[[#This Row],[ProductCategory]])="", R171, PROPER(TRIM(sales_dataset[[#This Row],[ProductCategory]])))</f>
        <v>Electronics</v>
      </c>
      <c r="T153" s="1" t="s">
        <v>23</v>
      </c>
      <c r="W153">
        <f>IF(TRIM(sales_dataset[[#This Row],[Quantity]])="",V159,PROPER(TRIM(sales_dataset[[#This Row],[Quantity]])))</f>
        <v>1</v>
      </c>
      <c r="Y153">
        <v>2000</v>
      </c>
      <c r="Z153" t="str">
        <f>IF(TRIM(sales_dataset[[#This Row],[UnitPrice]])="",Y155,PROPER(TRIM(sales_dataset[[#This Row],[UnitPrice]])))</f>
        <v>2000</v>
      </c>
      <c r="AC153" s="1">
        <f>IF(TRIM(sales_dataset[[#This Row],[TotalRevenue]])="",AB155,PROPER(TRIM(sales_dataset[[#This Row],[TotalRevenue]])))</f>
        <v>4000</v>
      </c>
      <c r="AD153" s="1">
        <f>ABS(sales_dataset[[#This Row],[Column5]])</f>
        <v>4000</v>
      </c>
      <c r="AE153" s="1">
        <f>sales_dataset[[#This Row],[Column17]]*sales_dataset[[#This Row],[Column16]]</f>
        <v>0</v>
      </c>
    </row>
    <row r="154" spans="3:31" x14ac:dyDescent="0.3">
      <c r="C154" s="1" t="s">
        <v>35</v>
      </c>
      <c r="F154" s="1" t="s">
        <v>53</v>
      </c>
      <c r="H154" s="1" t="s">
        <v>28</v>
      </c>
      <c r="J154" s="1" t="s">
        <v>37</v>
      </c>
      <c r="K154" s="1" t="str">
        <f>IF(TRIM(sales_dataset[[#This Row],[Region]])="", J156, PROPER(TRIM(sales_dataset[[#This Row],[Region]])))</f>
        <v>North</v>
      </c>
      <c r="N154" s="1" t="s">
        <v>48</v>
      </c>
      <c r="Q154" s="1" t="s">
        <v>19</v>
      </c>
      <c r="R154" s="1" t="str">
        <f>IF(TRIM(sales_dataset[[#This Row],[ProductCategory]])="", R172, PROPER(TRIM(sales_dataset[[#This Row],[ProductCategory]])))</f>
        <v>Electronics</v>
      </c>
      <c r="T154" s="1" t="s">
        <v>87</v>
      </c>
      <c r="V154">
        <v>2</v>
      </c>
      <c r="W154" t="str">
        <f>IF(TRIM(sales_dataset[[#This Row],[Quantity]])="",V160,PROPER(TRIM(sales_dataset[[#This Row],[Quantity]])))</f>
        <v>2</v>
      </c>
      <c r="Z154">
        <f>IF(TRIM(sales_dataset[[#This Row],[UnitPrice]])="",Y156,PROPER(TRIM(sales_dataset[[#This Row],[UnitPrice]])))</f>
        <v>1500</v>
      </c>
      <c r="AC154" s="1">
        <f>IF(TRIM(sales_dataset[[#This Row],[TotalRevenue]])="",AB156,PROPER(TRIM(sales_dataset[[#This Row],[TotalRevenue]])))</f>
        <v>0</v>
      </c>
      <c r="AD154" s="1">
        <f>ABS(sales_dataset[[#This Row],[Column5]])</f>
        <v>0</v>
      </c>
      <c r="AE154" s="1">
        <f>sales_dataset[[#This Row],[Column17]]*sales_dataset[[#This Row],[Column16]]</f>
        <v>0</v>
      </c>
    </row>
    <row r="155" spans="3:31" x14ac:dyDescent="0.3">
      <c r="C155" s="1" t="s">
        <v>43</v>
      </c>
      <c r="F155" s="1" t="s">
        <v>72</v>
      </c>
      <c r="H155" s="1" t="s">
        <v>79</v>
      </c>
      <c r="J155" s="1" t="s">
        <v>37</v>
      </c>
      <c r="K155" s="1" t="str">
        <f>IF(TRIM(sales_dataset[[#This Row],[Region]])="", J157, PROPER(TRIM(sales_dataset[[#This Row],[Region]])))</f>
        <v>North</v>
      </c>
      <c r="N155" s="1" t="s">
        <v>19</v>
      </c>
      <c r="Q155" s="1" t="s">
        <v>41</v>
      </c>
      <c r="R155" s="1" t="str">
        <f>IF(TRIM(sales_dataset[[#This Row],[ProductCategory]])="", R173, PROPER(TRIM(sales_dataset[[#This Row],[ProductCategory]])))</f>
        <v>Home</v>
      </c>
      <c r="T155" s="1" t="s">
        <v>76</v>
      </c>
      <c r="V155">
        <v>2</v>
      </c>
      <c r="W155" t="str">
        <f>IF(TRIM(sales_dataset[[#This Row],[Quantity]])="",V161,PROPER(TRIM(sales_dataset[[#This Row],[Quantity]])))</f>
        <v>2</v>
      </c>
      <c r="Y155">
        <v>2000</v>
      </c>
      <c r="Z155" t="str">
        <f>IF(TRIM(sales_dataset[[#This Row],[UnitPrice]])="",Y157,PROPER(TRIM(sales_dataset[[#This Row],[UnitPrice]])))</f>
        <v>2000</v>
      </c>
      <c r="AB155">
        <v>4000</v>
      </c>
      <c r="AC155" s="1" t="str">
        <f>IF(TRIM(sales_dataset[[#This Row],[TotalRevenue]])="",AB157,PROPER(TRIM(sales_dataset[[#This Row],[TotalRevenue]])))</f>
        <v>4000</v>
      </c>
      <c r="AD155" s="1">
        <f>ABS(sales_dataset[[#This Row],[Column5]])</f>
        <v>4000</v>
      </c>
      <c r="AE155" s="1">
        <f>sales_dataset[[#This Row],[Column17]]*sales_dataset[[#This Row],[Column16]]</f>
        <v>0</v>
      </c>
    </row>
    <row r="156" spans="3:31" x14ac:dyDescent="0.3">
      <c r="C156" s="1" t="s">
        <v>51</v>
      </c>
      <c r="F156" s="1" t="s">
        <v>27</v>
      </c>
      <c r="H156" s="1" t="s">
        <v>147</v>
      </c>
      <c r="J156" s="1" t="s">
        <v>98</v>
      </c>
      <c r="K156" s="1" t="str">
        <f>IF(TRIM(sales_dataset[[#This Row],[Region]])="", J158, PROPER(TRIM(sales_dataset[[#This Row],[Region]])))</f>
        <v>South</v>
      </c>
      <c r="N156" s="1" t="s">
        <v>39</v>
      </c>
      <c r="Q156" s="1" t="s">
        <v>82</v>
      </c>
      <c r="R156" s="1" t="str">
        <f>IF(TRIM(sales_dataset[[#This Row],[ProductCategory]])="", R174, PROPER(TRIM(sales_dataset[[#This Row],[ProductCategory]])))</f>
        <v>Electronics</v>
      </c>
      <c r="T156" s="1" t="s">
        <v>69</v>
      </c>
      <c r="W156">
        <f>IF(TRIM(sales_dataset[[#This Row],[Quantity]])="",V162,PROPER(TRIM(sales_dataset[[#This Row],[Quantity]])))</f>
        <v>0</v>
      </c>
      <c r="Y156">
        <v>1500</v>
      </c>
      <c r="Z156" t="str">
        <f>IF(TRIM(sales_dataset[[#This Row],[UnitPrice]])="",Y158,PROPER(TRIM(sales_dataset[[#This Row],[UnitPrice]])))</f>
        <v>1500</v>
      </c>
      <c r="AC156" s="1">
        <f>IF(TRIM(sales_dataset[[#This Row],[TotalRevenue]])="",AB158,PROPER(TRIM(sales_dataset[[#This Row],[TotalRevenue]])))</f>
        <v>0</v>
      </c>
      <c r="AD156" s="1">
        <f>ABS(sales_dataset[[#This Row],[Column5]])</f>
        <v>0</v>
      </c>
      <c r="AE156" s="1">
        <f>sales_dataset[[#This Row],[Column17]]*sales_dataset[[#This Row],[Column16]]</f>
        <v>0</v>
      </c>
    </row>
    <row r="157" spans="3:31" x14ac:dyDescent="0.3">
      <c r="C157" s="1" t="s">
        <v>19</v>
      </c>
      <c r="F157" s="1" t="s">
        <v>60</v>
      </c>
      <c r="H157" s="1" t="s">
        <v>28</v>
      </c>
      <c r="J157" s="1" t="s">
        <v>19</v>
      </c>
      <c r="K157" s="1" t="str">
        <f>IF(TRIM(sales_dataset[[#This Row],[Region]])="", J159, PROPER(TRIM(sales_dataset[[#This Row],[Region]])))</f>
        <v>East</v>
      </c>
      <c r="N157" s="1" t="s">
        <v>56</v>
      </c>
      <c r="Q157" s="1" t="s">
        <v>19</v>
      </c>
      <c r="R157" s="1" t="str">
        <f>IF(TRIM(sales_dataset[[#This Row],[ProductCategory]])="", R175, PROPER(TRIM(sales_dataset[[#This Row],[ProductCategory]])))</f>
        <v>Home</v>
      </c>
      <c r="T157" s="1" t="s">
        <v>19</v>
      </c>
      <c r="W157">
        <f>IF(TRIM(sales_dataset[[#This Row],[Quantity]])="",V163,PROPER(TRIM(sales_dataset[[#This Row],[Quantity]])))</f>
        <v>1</v>
      </c>
      <c r="Y157">
        <v>1500</v>
      </c>
      <c r="Z157" t="str">
        <f>IF(TRIM(sales_dataset[[#This Row],[UnitPrice]])="",Y159,PROPER(TRIM(sales_dataset[[#This Row],[UnitPrice]])))</f>
        <v>1500</v>
      </c>
      <c r="AC157" s="1">
        <f>IF(TRIM(sales_dataset[[#This Row],[TotalRevenue]])="",AB159,PROPER(TRIM(sales_dataset[[#This Row],[TotalRevenue]])))</f>
        <v>2000</v>
      </c>
      <c r="AD157" s="1">
        <f>ABS(sales_dataset[[#This Row],[Column5]])</f>
        <v>2000</v>
      </c>
      <c r="AE157" s="1">
        <f>sales_dataset[[#This Row],[Column17]]*sales_dataset[[#This Row],[Column16]]</f>
        <v>0</v>
      </c>
    </row>
    <row r="158" spans="3:31" x14ac:dyDescent="0.3">
      <c r="C158" s="1" t="s">
        <v>16</v>
      </c>
      <c r="F158" s="1" t="s">
        <v>72</v>
      </c>
      <c r="H158" s="1" t="s">
        <v>19</v>
      </c>
      <c r="J158" s="1" t="s">
        <v>98</v>
      </c>
      <c r="K158" s="1" t="str">
        <f>IF(TRIM(sales_dataset[[#This Row],[Region]])="", J160, PROPER(TRIM(sales_dataset[[#This Row],[Region]])))</f>
        <v>South</v>
      </c>
      <c r="N158" s="1" t="s">
        <v>39</v>
      </c>
      <c r="Q158" s="1" t="s">
        <v>82</v>
      </c>
      <c r="R158" s="1" t="str">
        <f>IF(TRIM(sales_dataset[[#This Row],[ProductCategory]])="", R176, PROPER(TRIM(sales_dataset[[#This Row],[ProductCategory]])))</f>
        <v>Electronics</v>
      </c>
      <c r="T158" s="1" t="s">
        <v>87</v>
      </c>
      <c r="W158">
        <f>IF(TRIM(sales_dataset[[#This Row],[Quantity]])="",V164,PROPER(TRIM(sales_dataset[[#This Row],[Quantity]])))</f>
        <v>0</v>
      </c>
      <c r="Z158">
        <f>IF(TRIM(sales_dataset[[#This Row],[UnitPrice]])="",Y160,PROPER(TRIM(sales_dataset[[#This Row],[UnitPrice]])))</f>
        <v>500</v>
      </c>
      <c r="AC158" s="1">
        <f>IF(TRIM(sales_dataset[[#This Row],[TotalRevenue]])="",AB160,PROPER(TRIM(sales_dataset[[#This Row],[TotalRevenue]])))</f>
        <v>1500</v>
      </c>
      <c r="AD158" s="1">
        <f>ABS(sales_dataset[[#This Row],[Column5]])</f>
        <v>1500</v>
      </c>
      <c r="AE158" s="1">
        <f>sales_dataset[[#This Row],[Column17]]*sales_dataset[[#This Row],[Column16]]</f>
        <v>0</v>
      </c>
    </row>
    <row r="159" spans="3:31" x14ac:dyDescent="0.3">
      <c r="C159" s="1" t="s">
        <v>25</v>
      </c>
      <c r="F159" s="1" t="s">
        <v>118</v>
      </c>
      <c r="H159" s="1" t="s">
        <v>73</v>
      </c>
      <c r="J159" s="1" t="s">
        <v>80</v>
      </c>
      <c r="K159" s="1" t="str">
        <f>IF(TRIM(sales_dataset[[#This Row],[Region]])="", J161, PROPER(TRIM(sales_dataset[[#This Row],[Region]])))</f>
        <v>East</v>
      </c>
      <c r="N159" s="1" t="s">
        <v>48</v>
      </c>
      <c r="Q159" s="1" t="s">
        <v>63</v>
      </c>
      <c r="R159" s="1" t="str">
        <f>IF(TRIM(sales_dataset[[#This Row],[ProductCategory]])="", R177, PROPER(TRIM(sales_dataset[[#This Row],[ProductCategory]])))</f>
        <v>Clothing</v>
      </c>
      <c r="T159" s="1" t="s">
        <v>69</v>
      </c>
      <c r="V159">
        <v>1</v>
      </c>
      <c r="W159" t="str">
        <f>IF(TRIM(sales_dataset[[#This Row],[Quantity]])="",V165,PROPER(TRIM(sales_dataset[[#This Row],[Quantity]])))</f>
        <v>1</v>
      </c>
      <c r="Y159">
        <v>2000</v>
      </c>
      <c r="Z159" t="str">
        <f>IF(TRIM(sales_dataset[[#This Row],[UnitPrice]])="",Y161,PROPER(TRIM(sales_dataset[[#This Row],[UnitPrice]])))</f>
        <v>2000</v>
      </c>
      <c r="AB159">
        <v>2000</v>
      </c>
      <c r="AC159" s="1" t="str">
        <f>IF(TRIM(sales_dataset[[#This Row],[TotalRevenue]])="",AB161,PROPER(TRIM(sales_dataset[[#This Row],[TotalRevenue]])))</f>
        <v>2000</v>
      </c>
      <c r="AD159" s="1">
        <f>ABS(sales_dataset[[#This Row],[Column5]])</f>
        <v>2000</v>
      </c>
      <c r="AE159" s="1">
        <f>sales_dataset[[#This Row],[Column17]]*sales_dataset[[#This Row],[Column16]]</f>
        <v>0</v>
      </c>
    </row>
    <row r="160" spans="3:31" x14ac:dyDescent="0.3">
      <c r="C160" s="1" t="s">
        <v>35</v>
      </c>
      <c r="F160" s="1" t="s">
        <v>118</v>
      </c>
      <c r="H160" s="1" t="s">
        <v>54</v>
      </c>
      <c r="J160" s="1" t="s">
        <v>66</v>
      </c>
      <c r="K160" s="1" t="str">
        <f>IF(TRIM(sales_dataset[[#This Row],[Region]])="", J162, PROPER(TRIM(sales_dataset[[#This Row],[Region]])))</f>
        <v>West</v>
      </c>
      <c r="N160" s="1" t="s">
        <v>21</v>
      </c>
      <c r="Q160" s="1" t="s">
        <v>63</v>
      </c>
      <c r="R160" s="1" t="str">
        <f>IF(TRIM(sales_dataset[[#This Row],[ProductCategory]])="", R178, PROPER(TRIM(sales_dataset[[#This Row],[ProductCategory]])))</f>
        <v>Clothing</v>
      </c>
      <c r="T160" s="1" t="s">
        <v>19</v>
      </c>
      <c r="V160">
        <v>3</v>
      </c>
      <c r="W160" t="str">
        <f>IF(TRIM(sales_dataset[[#This Row],[Quantity]])="",V166,PROPER(TRIM(sales_dataset[[#This Row],[Quantity]])))</f>
        <v>3</v>
      </c>
      <c r="Y160">
        <v>500</v>
      </c>
      <c r="Z160" t="str">
        <f>IF(TRIM(sales_dataset[[#This Row],[UnitPrice]])="",Y162,PROPER(TRIM(sales_dataset[[#This Row],[UnitPrice]])))</f>
        <v>500</v>
      </c>
      <c r="AB160">
        <v>1500</v>
      </c>
      <c r="AC160" s="1" t="str">
        <f>IF(TRIM(sales_dataset[[#This Row],[TotalRevenue]])="",AB162,PROPER(TRIM(sales_dataset[[#This Row],[TotalRevenue]])))</f>
        <v>1500</v>
      </c>
      <c r="AD160" s="1">
        <f>ABS(sales_dataset[[#This Row],[Column5]])</f>
        <v>1500</v>
      </c>
      <c r="AE160" s="1">
        <f>sales_dataset[[#This Row],[Column17]]*sales_dataset[[#This Row],[Column16]]</f>
        <v>0</v>
      </c>
    </row>
    <row r="161" spans="3:31" x14ac:dyDescent="0.3">
      <c r="C161" s="1" t="s">
        <v>43</v>
      </c>
      <c r="F161" s="1" t="s">
        <v>18</v>
      </c>
      <c r="H161" s="1" t="s">
        <v>19</v>
      </c>
      <c r="J161" s="1" t="s">
        <v>46</v>
      </c>
      <c r="K161" s="1" t="str">
        <f>IF(TRIM(sales_dataset[[#This Row],[Region]])="", J163, PROPER(TRIM(sales_dataset[[#This Row],[Region]])))</f>
        <v>North</v>
      </c>
      <c r="N161" s="1" t="s">
        <v>21</v>
      </c>
      <c r="Q161" s="1" t="s">
        <v>19</v>
      </c>
      <c r="R161" s="1" t="str">
        <f>IF(TRIM(sales_dataset[[#This Row],[ProductCategory]])="", R179, PROPER(TRIM(sales_dataset[[#This Row],[ProductCategory]])))</f>
        <v>Clothing</v>
      </c>
      <c r="T161" s="1" t="s">
        <v>95</v>
      </c>
      <c r="V161">
        <v>4</v>
      </c>
      <c r="W161" t="str">
        <f>IF(TRIM(sales_dataset[[#This Row],[Quantity]])="",V167,PROPER(TRIM(sales_dataset[[#This Row],[Quantity]])))</f>
        <v>4</v>
      </c>
      <c r="Y161">
        <v>2000</v>
      </c>
      <c r="Z161" t="str">
        <f>IF(TRIM(sales_dataset[[#This Row],[UnitPrice]])="",Y163,PROPER(TRIM(sales_dataset[[#This Row],[UnitPrice]])))</f>
        <v>2000</v>
      </c>
      <c r="AB161">
        <v>8000</v>
      </c>
      <c r="AC161" s="1" t="str">
        <f>IF(TRIM(sales_dataset[[#This Row],[TotalRevenue]])="",AB163,PROPER(TRIM(sales_dataset[[#This Row],[TotalRevenue]])))</f>
        <v>8000</v>
      </c>
      <c r="AD161" s="1">
        <f>ABS(sales_dataset[[#This Row],[Column5]])</f>
        <v>8000</v>
      </c>
      <c r="AE161" s="1">
        <f>sales_dataset[[#This Row],[Column17]]*sales_dataset[[#This Row],[Column16]]</f>
        <v>0</v>
      </c>
    </row>
    <row r="162" spans="3:31" x14ac:dyDescent="0.3">
      <c r="C162" s="1" t="s">
        <v>51</v>
      </c>
      <c r="F162" s="1" t="s">
        <v>19</v>
      </c>
      <c r="H162" s="1" t="s">
        <v>45</v>
      </c>
      <c r="J162" s="1" t="s">
        <v>37</v>
      </c>
      <c r="K162" s="1" t="str">
        <f>IF(TRIM(sales_dataset[[#This Row],[Region]])="", J164, PROPER(TRIM(sales_dataset[[#This Row],[Region]])))</f>
        <v>North</v>
      </c>
      <c r="N162" s="1" t="s">
        <v>56</v>
      </c>
      <c r="Q162" s="1" t="s">
        <v>82</v>
      </c>
      <c r="R162" s="1" t="str">
        <f>IF(TRIM(sales_dataset[[#This Row],[ProductCategory]])="", R180, PROPER(TRIM(sales_dataset[[#This Row],[ProductCategory]])))</f>
        <v>Electronics</v>
      </c>
      <c r="T162" s="1" t="s">
        <v>33</v>
      </c>
      <c r="W162">
        <f>IF(TRIM(sales_dataset[[#This Row],[Quantity]])="",V168,PROPER(TRIM(sales_dataset[[#This Row],[Quantity]])))</f>
        <v>5</v>
      </c>
      <c r="Y162">
        <v>2500</v>
      </c>
      <c r="Z162" t="str">
        <f>IF(TRIM(sales_dataset[[#This Row],[UnitPrice]])="",Y164,PROPER(TRIM(sales_dataset[[#This Row],[UnitPrice]])))</f>
        <v>2500</v>
      </c>
      <c r="AC162" s="1">
        <f>IF(TRIM(sales_dataset[[#This Row],[TotalRevenue]])="",AB164,PROPER(TRIM(sales_dataset[[#This Row],[TotalRevenue]])))</f>
        <v>0</v>
      </c>
      <c r="AD162" s="1">
        <f>ABS(sales_dataset[[#This Row],[Column5]])</f>
        <v>0</v>
      </c>
      <c r="AE162" s="1">
        <f>sales_dataset[[#This Row],[Column17]]*sales_dataset[[#This Row],[Column16]]</f>
        <v>0</v>
      </c>
    </row>
    <row r="163" spans="3:31" x14ac:dyDescent="0.3">
      <c r="C163" s="1" t="s">
        <v>19</v>
      </c>
      <c r="F163" s="1" t="s">
        <v>60</v>
      </c>
      <c r="H163" s="1" t="s">
        <v>54</v>
      </c>
      <c r="J163" s="1" t="s">
        <v>80</v>
      </c>
      <c r="K163" s="1" t="str">
        <f>IF(TRIM(sales_dataset[[#This Row],[Region]])="", J165, PROPER(TRIM(sales_dataset[[#This Row],[Region]])))</f>
        <v>East</v>
      </c>
      <c r="N163" s="1" t="s">
        <v>56</v>
      </c>
      <c r="Q163" s="1" t="s">
        <v>32</v>
      </c>
      <c r="R163" s="1" t="str">
        <f>IF(TRIM(sales_dataset[[#This Row],[ProductCategory]])="", R181, PROPER(TRIM(sales_dataset[[#This Row],[ProductCategory]])))</f>
        <v>Electronics</v>
      </c>
      <c r="T163" s="1" t="s">
        <v>33</v>
      </c>
      <c r="V163">
        <v>1</v>
      </c>
      <c r="W163" t="str">
        <f>IF(TRIM(sales_dataset[[#This Row],[Quantity]])="",V169,PROPER(TRIM(sales_dataset[[#This Row],[Quantity]])))</f>
        <v>1</v>
      </c>
      <c r="Y163">
        <v>-100</v>
      </c>
      <c r="Z163" t="str">
        <f>IF(TRIM(sales_dataset[[#This Row],[UnitPrice]])="",Y165,PROPER(TRIM(sales_dataset[[#This Row],[UnitPrice]])))</f>
        <v>-100</v>
      </c>
      <c r="AB163">
        <v>-100</v>
      </c>
      <c r="AC163" s="1" t="str">
        <f>IF(TRIM(sales_dataset[[#This Row],[TotalRevenue]])="",AB165,PROPER(TRIM(sales_dataset[[#This Row],[TotalRevenue]])))</f>
        <v>-100</v>
      </c>
      <c r="AD163" s="1">
        <f>ABS(sales_dataset[[#This Row],[Column5]])</f>
        <v>100</v>
      </c>
      <c r="AE163" s="1">
        <f>sales_dataset[[#This Row],[Column17]]*sales_dataset[[#This Row],[Column16]]</f>
        <v>0</v>
      </c>
    </row>
    <row r="164" spans="3:31" x14ac:dyDescent="0.3">
      <c r="C164" s="1" t="s">
        <v>16</v>
      </c>
      <c r="F164" s="1" t="s">
        <v>19</v>
      </c>
      <c r="H164" s="1" t="s">
        <v>73</v>
      </c>
      <c r="J164" s="1" t="s">
        <v>98</v>
      </c>
      <c r="K164" s="1" t="str">
        <f>IF(TRIM(sales_dataset[[#This Row],[Region]])="", J166, PROPER(TRIM(sales_dataset[[#This Row],[Region]])))</f>
        <v>South</v>
      </c>
      <c r="N164" s="1" t="s">
        <v>48</v>
      </c>
      <c r="Q164" s="1" t="s">
        <v>82</v>
      </c>
      <c r="R164" s="1" t="str">
        <f>IF(TRIM(sales_dataset[[#This Row],[ProductCategory]])="", R182, PROPER(TRIM(sales_dataset[[#This Row],[ProductCategory]])))</f>
        <v>Electronics</v>
      </c>
      <c r="T164" s="1" t="s">
        <v>87</v>
      </c>
      <c r="W164">
        <f>IF(TRIM(sales_dataset[[#This Row],[Quantity]])="",V170,PROPER(TRIM(sales_dataset[[#This Row],[Quantity]])))</f>
        <v>2</v>
      </c>
      <c r="Y164">
        <v>1500</v>
      </c>
      <c r="Z164" t="str">
        <f>IF(TRIM(sales_dataset[[#This Row],[UnitPrice]])="",Y166,PROPER(TRIM(sales_dataset[[#This Row],[UnitPrice]])))</f>
        <v>1500</v>
      </c>
      <c r="AC164" s="1">
        <f>IF(TRIM(sales_dataset[[#This Row],[TotalRevenue]])="",AB166,PROPER(TRIM(sales_dataset[[#This Row],[TotalRevenue]])))</f>
        <v>4500</v>
      </c>
      <c r="AD164" s="1">
        <f>ABS(sales_dataset[[#This Row],[Column5]])</f>
        <v>4500</v>
      </c>
      <c r="AE164" s="1">
        <f>sales_dataset[[#This Row],[Column17]]*sales_dataset[[#This Row],[Column16]]</f>
        <v>0</v>
      </c>
    </row>
    <row r="165" spans="3:31" x14ac:dyDescent="0.3">
      <c r="C165" s="1" t="s">
        <v>25</v>
      </c>
      <c r="F165" s="1" t="s">
        <v>19</v>
      </c>
      <c r="H165" s="1" t="s">
        <v>19</v>
      </c>
      <c r="J165" s="1" t="s">
        <v>37</v>
      </c>
      <c r="K165" s="1" t="str">
        <f>IF(TRIM(sales_dataset[[#This Row],[Region]])="", J167, PROPER(TRIM(sales_dataset[[#This Row],[Region]])))</f>
        <v>North</v>
      </c>
      <c r="N165" s="1" t="s">
        <v>19</v>
      </c>
      <c r="Q165" s="1" t="s">
        <v>32</v>
      </c>
      <c r="R165" s="1" t="str">
        <f>IF(TRIM(sales_dataset[[#This Row],[ProductCategory]])="", R183, PROPER(TRIM(sales_dataset[[#This Row],[ProductCategory]])))</f>
        <v>Electronics</v>
      </c>
      <c r="T165" s="1" t="s">
        <v>19</v>
      </c>
      <c r="V165">
        <v>5</v>
      </c>
      <c r="W165" t="str">
        <f>IF(TRIM(sales_dataset[[#This Row],[Quantity]])="",V171,PROPER(TRIM(sales_dataset[[#This Row],[Quantity]])))</f>
        <v>5</v>
      </c>
      <c r="Y165">
        <v>500</v>
      </c>
      <c r="Z165" t="str">
        <f>IF(TRIM(sales_dataset[[#This Row],[UnitPrice]])="",Y167,PROPER(TRIM(sales_dataset[[#This Row],[UnitPrice]])))</f>
        <v>500</v>
      </c>
      <c r="AB165">
        <v>2500</v>
      </c>
      <c r="AC165" s="1" t="str">
        <f>IF(TRIM(sales_dataset[[#This Row],[TotalRevenue]])="",AB167,PROPER(TRIM(sales_dataset[[#This Row],[TotalRevenue]])))</f>
        <v>2500</v>
      </c>
      <c r="AD165" s="1">
        <f>ABS(sales_dataset[[#This Row],[Column5]])</f>
        <v>2500</v>
      </c>
      <c r="AE165" s="1">
        <f>sales_dataset[[#This Row],[Column17]]*sales_dataset[[#This Row],[Column16]]</f>
        <v>0</v>
      </c>
    </row>
    <row r="166" spans="3:31" x14ac:dyDescent="0.3">
      <c r="C166" s="1" t="s">
        <v>35</v>
      </c>
      <c r="F166" s="1" t="s">
        <v>27</v>
      </c>
      <c r="H166" s="1" t="s">
        <v>54</v>
      </c>
      <c r="J166" s="1" t="s">
        <v>66</v>
      </c>
      <c r="K166" s="1" t="str">
        <f>IF(TRIM(sales_dataset[[#This Row],[Region]])="", J168, PROPER(TRIM(sales_dataset[[#This Row],[Region]])))</f>
        <v>West</v>
      </c>
      <c r="N166" s="1" t="s">
        <v>21</v>
      </c>
      <c r="Q166" s="1" t="s">
        <v>41</v>
      </c>
      <c r="R166" s="1" t="str">
        <f>IF(TRIM(sales_dataset[[#This Row],[ProductCategory]])="", R184, PROPER(TRIM(sales_dataset[[#This Row],[ProductCategory]])))</f>
        <v>Home</v>
      </c>
      <c r="T166" s="1" t="s">
        <v>23</v>
      </c>
      <c r="V166">
        <v>3</v>
      </c>
      <c r="W166" t="str">
        <f>IF(TRIM(sales_dataset[[#This Row],[Quantity]])="",V172,PROPER(TRIM(sales_dataset[[#This Row],[Quantity]])))</f>
        <v>3</v>
      </c>
      <c r="Y166">
        <v>1500</v>
      </c>
      <c r="Z166" t="str">
        <f>IF(TRIM(sales_dataset[[#This Row],[UnitPrice]])="",Y168,PROPER(TRIM(sales_dataset[[#This Row],[UnitPrice]])))</f>
        <v>1500</v>
      </c>
      <c r="AB166">
        <v>4500</v>
      </c>
      <c r="AC166" s="1" t="str">
        <f>IF(TRIM(sales_dataset[[#This Row],[TotalRevenue]])="",AB168,PROPER(TRIM(sales_dataset[[#This Row],[TotalRevenue]])))</f>
        <v>4500</v>
      </c>
      <c r="AD166" s="1">
        <f>ABS(sales_dataset[[#This Row],[Column5]])</f>
        <v>4500</v>
      </c>
      <c r="AE166" s="1">
        <f>sales_dataset[[#This Row],[Column17]]*sales_dataset[[#This Row],[Column16]]</f>
        <v>0</v>
      </c>
    </row>
    <row r="167" spans="3:31" x14ac:dyDescent="0.3">
      <c r="C167" s="1" t="s">
        <v>43</v>
      </c>
      <c r="F167" s="1" t="s">
        <v>60</v>
      </c>
      <c r="H167" s="1" t="s">
        <v>45</v>
      </c>
      <c r="J167" s="1" t="s">
        <v>98</v>
      </c>
      <c r="K167" s="1" t="str">
        <f>IF(TRIM(sales_dataset[[#This Row],[Region]])="", J169, PROPER(TRIM(sales_dataset[[#This Row],[Region]])))</f>
        <v>South</v>
      </c>
      <c r="N167" s="1" t="s">
        <v>21</v>
      </c>
      <c r="Q167" s="1" t="s">
        <v>41</v>
      </c>
      <c r="R167" s="1" t="str">
        <f>IF(TRIM(sales_dataset[[#This Row],[ProductCategory]])="", R185, PROPER(TRIM(sales_dataset[[#This Row],[ProductCategory]])))</f>
        <v>Home</v>
      </c>
      <c r="T167" s="1" t="s">
        <v>23</v>
      </c>
      <c r="V167">
        <v>5</v>
      </c>
      <c r="W167" t="str">
        <f>IF(TRIM(sales_dataset[[#This Row],[Quantity]])="",V173,PROPER(TRIM(sales_dataset[[#This Row],[Quantity]])))</f>
        <v>5</v>
      </c>
      <c r="Y167">
        <v>2000</v>
      </c>
      <c r="Z167" t="str">
        <f>IF(TRIM(sales_dataset[[#This Row],[UnitPrice]])="",Y169,PROPER(TRIM(sales_dataset[[#This Row],[UnitPrice]])))</f>
        <v>2000</v>
      </c>
      <c r="AB167">
        <v>10000</v>
      </c>
      <c r="AC167" s="1" t="str">
        <f>IF(TRIM(sales_dataset[[#This Row],[TotalRevenue]])="",AB169,PROPER(TRIM(sales_dataset[[#This Row],[TotalRevenue]])))</f>
        <v>10000</v>
      </c>
      <c r="AD167" s="1">
        <f>ABS(sales_dataset[[#This Row],[Column5]])</f>
        <v>10000</v>
      </c>
      <c r="AE167" s="1">
        <f>sales_dataset[[#This Row],[Column17]]*sales_dataset[[#This Row],[Column16]]</f>
        <v>0</v>
      </c>
    </row>
    <row r="168" spans="3:31" x14ac:dyDescent="0.3">
      <c r="C168" s="1" t="s">
        <v>51</v>
      </c>
      <c r="F168" s="1" t="s">
        <v>118</v>
      </c>
      <c r="H168" s="1" t="s">
        <v>28</v>
      </c>
      <c r="J168" s="1" t="s">
        <v>19</v>
      </c>
      <c r="K168" s="1" t="str">
        <f>IF(TRIM(sales_dataset[[#This Row],[Region]])="", J170, PROPER(TRIM(sales_dataset[[#This Row],[Region]])))</f>
        <v>North</v>
      </c>
      <c r="N168" s="1" t="s">
        <v>21</v>
      </c>
      <c r="Q168" s="1" t="s">
        <v>41</v>
      </c>
      <c r="R168" s="1" t="str">
        <f>IF(TRIM(sales_dataset[[#This Row],[ProductCategory]])="", R186, PROPER(TRIM(sales_dataset[[#This Row],[ProductCategory]])))</f>
        <v>Home</v>
      </c>
      <c r="T168" s="1" t="s">
        <v>76</v>
      </c>
      <c r="V168">
        <v>5</v>
      </c>
      <c r="W168" t="str">
        <f>IF(TRIM(sales_dataset[[#This Row],[Quantity]])="",V174,PROPER(TRIM(sales_dataset[[#This Row],[Quantity]])))</f>
        <v>5</v>
      </c>
      <c r="Z168">
        <f>IF(TRIM(sales_dataset[[#This Row],[UnitPrice]])="",Y170,PROPER(TRIM(sales_dataset[[#This Row],[UnitPrice]])))</f>
        <v>-100</v>
      </c>
      <c r="AC168" s="1">
        <f>IF(TRIM(sales_dataset[[#This Row],[TotalRevenue]])="",AB170,PROPER(TRIM(sales_dataset[[#This Row],[TotalRevenue]])))</f>
        <v>-200</v>
      </c>
      <c r="AD168" s="1">
        <f>ABS(sales_dataset[[#This Row],[Column5]])</f>
        <v>200</v>
      </c>
      <c r="AE168" s="1">
        <f>sales_dataset[[#This Row],[Column17]]*sales_dataset[[#This Row],[Column16]]</f>
        <v>0</v>
      </c>
    </row>
    <row r="169" spans="3:31" x14ac:dyDescent="0.3">
      <c r="C169" s="1" t="s">
        <v>19</v>
      </c>
      <c r="F169" s="1" t="s">
        <v>27</v>
      </c>
      <c r="H169" s="1" t="s">
        <v>19</v>
      </c>
      <c r="J169" s="1" t="s">
        <v>19</v>
      </c>
      <c r="K169" s="1" t="str">
        <f>IF(TRIM(sales_dataset[[#This Row],[Region]])="", J171, PROPER(TRIM(sales_dataset[[#This Row],[Region]])))</f>
        <v>NORTH</v>
      </c>
      <c r="N169" s="1" t="s">
        <v>21</v>
      </c>
      <c r="Q169" s="1" t="s">
        <v>82</v>
      </c>
      <c r="R169" s="1" t="str">
        <f>IF(TRIM(sales_dataset[[#This Row],[ProductCategory]])="", R187, PROPER(TRIM(sales_dataset[[#This Row],[ProductCategory]])))</f>
        <v>Electronics</v>
      </c>
      <c r="T169" s="1" t="s">
        <v>95</v>
      </c>
      <c r="W169">
        <f>IF(TRIM(sales_dataset[[#This Row],[Quantity]])="",V175,PROPER(TRIM(sales_dataset[[#This Row],[Quantity]])))</f>
        <v>0</v>
      </c>
      <c r="Y169">
        <v>500</v>
      </c>
      <c r="Z169" t="str">
        <f>IF(TRIM(sales_dataset[[#This Row],[UnitPrice]])="",Y171,PROPER(TRIM(sales_dataset[[#This Row],[UnitPrice]])))</f>
        <v>500</v>
      </c>
      <c r="AC169" s="1">
        <f>IF(TRIM(sales_dataset[[#This Row],[TotalRevenue]])="",AB171,PROPER(TRIM(sales_dataset[[#This Row],[TotalRevenue]])))</f>
        <v>0</v>
      </c>
      <c r="AD169" s="1">
        <f>ABS(sales_dataset[[#This Row],[Column5]])</f>
        <v>0</v>
      </c>
      <c r="AE169" s="1">
        <f>sales_dataset[[#This Row],[Column17]]*sales_dataset[[#This Row],[Column16]]</f>
        <v>0</v>
      </c>
    </row>
    <row r="170" spans="3:31" x14ac:dyDescent="0.3">
      <c r="C170" s="1" t="s">
        <v>16</v>
      </c>
      <c r="F170" s="1" t="s">
        <v>60</v>
      </c>
      <c r="H170" s="1" t="s">
        <v>147</v>
      </c>
      <c r="J170" s="1" t="s">
        <v>46</v>
      </c>
      <c r="K170" s="1" t="str">
        <f>IF(TRIM(sales_dataset[[#This Row],[Region]])="", J172, PROPER(TRIM(sales_dataset[[#This Row],[Region]])))</f>
        <v>North</v>
      </c>
      <c r="N170" s="1" t="s">
        <v>48</v>
      </c>
      <c r="Q170" s="1" t="s">
        <v>19</v>
      </c>
      <c r="R170" s="1" t="str">
        <f>IF(TRIM(sales_dataset[[#This Row],[ProductCategory]])="", R188, PROPER(TRIM(sales_dataset[[#This Row],[ProductCategory]])))</f>
        <v>Electronics</v>
      </c>
      <c r="T170" s="1" t="s">
        <v>76</v>
      </c>
      <c r="V170">
        <v>2</v>
      </c>
      <c r="W170" t="str">
        <f>IF(TRIM(sales_dataset[[#This Row],[Quantity]])="",V176,PROPER(TRIM(sales_dataset[[#This Row],[Quantity]])))</f>
        <v>2</v>
      </c>
      <c r="Y170">
        <v>-100</v>
      </c>
      <c r="Z170" t="str">
        <f>IF(TRIM(sales_dataset[[#This Row],[UnitPrice]])="",Y172,PROPER(TRIM(sales_dataset[[#This Row],[UnitPrice]])))</f>
        <v>-100</v>
      </c>
      <c r="AB170">
        <v>-200</v>
      </c>
      <c r="AC170" s="1" t="str">
        <f>IF(TRIM(sales_dataset[[#This Row],[TotalRevenue]])="",AB172,PROPER(TRIM(sales_dataset[[#This Row],[TotalRevenue]])))</f>
        <v>-200</v>
      </c>
      <c r="AD170" s="1">
        <f>ABS(sales_dataset[[#This Row],[Column5]])</f>
        <v>200</v>
      </c>
      <c r="AE170" s="1">
        <f>sales_dataset[[#This Row],[Column17]]*sales_dataset[[#This Row],[Column16]]</f>
        <v>0</v>
      </c>
    </row>
    <row r="171" spans="3:31" x14ac:dyDescent="0.3">
      <c r="C171" s="1" t="s">
        <v>25</v>
      </c>
      <c r="F171" s="1" t="s">
        <v>53</v>
      </c>
      <c r="H171" s="1" t="s">
        <v>19</v>
      </c>
      <c r="J171" s="1" t="s">
        <v>37</v>
      </c>
      <c r="K171" s="1" t="str">
        <f>IF(TRIM(sales_dataset[[#This Row],[Region]])="", J173, PROPER(TRIM(sales_dataset[[#This Row],[Region]])))</f>
        <v>North</v>
      </c>
      <c r="N171" s="1" t="s">
        <v>56</v>
      </c>
      <c r="Q171" s="1" t="s">
        <v>32</v>
      </c>
      <c r="R171" s="1" t="str">
        <f>IF(TRIM(sales_dataset[[#This Row],[ProductCategory]])="", R189, PROPER(TRIM(sales_dataset[[#This Row],[ProductCategory]])))</f>
        <v>Electronics</v>
      </c>
      <c r="T171" s="1" t="s">
        <v>95</v>
      </c>
      <c r="V171">
        <v>4</v>
      </c>
      <c r="W171" t="str">
        <f>IF(TRIM(sales_dataset[[#This Row],[Quantity]])="",V177,PROPER(TRIM(sales_dataset[[#This Row],[Quantity]])))</f>
        <v>4</v>
      </c>
      <c r="Z171">
        <f>IF(TRIM(sales_dataset[[#This Row],[UnitPrice]])="",Y173,PROPER(TRIM(sales_dataset[[#This Row],[UnitPrice]])))</f>
        <v>2000</v>
      </c>
      <c r="AC171" s="1">
        <f>IF(TRIM(sales_dataset[[#This Row],[TotalRevenue]])="",AB173,PROPER(TRIM(sales_dataset[[#This Row],[TotalRevenue]])))</f>
        <v>2000</v>
      </c>
      <c r="AD171" s="1">
        <f>ABS(sales_dataset[[#This Row],[Column5]])</f>
        <v>2000</v>
      </c>
      <c r="AE171" s="1">
        <f>sales_dataset[[#This Row],[Column17]]*sales_dataset[[#This Row],[Column16]]</f>
        <v>0</v>
      </c>
    </row>
    <row r="172" spans="3:31" x14ac:dyDescent="0.3">
      <c r="C172" s="1" t="s">
        <v>35</v>
      </c>
      <c r="F172" s="1" t="s">
        <v>72</v>
      </c>
      <c r="H172" s="1" t="s">
        <v>45</v>
      </c>
      <c r="J172" s="1" t="s">
        <v>80</v>
      </c>
      <c r="K172" s="1" t="str">
        <f>IF(TRIM(sales_dataset[[#This Row],[Region]])="", J174, PROPER(TRIM(sales_dataset[[#This Row],[Region]])))</f>
        <v>East</v>
      </c>
      <c r="N172" s="1" t="s">
        <v>56</v>
      </c>
      <c r="Q172" s="1" t="s">
        <v>82</v>
      </c>
      <c r="R172" s="1" t="str">
        <f>IF(TRIM(sales_dataset[[#This Row],[ProductCategory]])="", R190, PROPER(TRIM(sales_dataset[[#This Row],[ProductCategory]])))</f>
        <v>Electronics</v>
      </c>
      <c r="T172" s="1" t="s">
        <v>33</v>
      </c>
      <c r="V172">
        <v>-1</v>
      </c>
      <c r="W172" t="str">
        <f>IF(TRIM(sales_dataset[[#This Row],[Quantity]])="",V178,PROPER(TRIM(sales_dataset[[#This Row],[Quantity]])))</f>
        <v>-1</v>
      </c>
      <c r="Y172">
        <v>-100</v>
      </c>
      <c r="Z172" t="str">
        <f>IF(TRIM(sales_dataset[[#This Row],[UnitPrice]])="",Y174,PROPER(TRIM(sales_dataset[[#This Row],[UnitPrice]])))</f>
        <v>-100</v>
      </c>
      <c r="AB172">
        <v>50</v>
      </c>
      <c r="AC172" s="1" t="str">
        <f>IF(TRIM(sales_dataset[[#This Row],[TotalRevenue]])="",AB174,PROPER(TRIM(sales_dataset[[#This Row],[TotalRevenue]])))</f>
        <v>50</v>
      </c>
      <c r="AD172" s="1">
        <f>ABS(sales_dataset[[#This Row],[Column5]])</f>
        <v>50</v>
      </c>
      <c r="AE172" s="1">
        <f>sales_dataset[[#This Row],[Column17]]*sales_dataset[[#This Row],[Column16]]</f>
        <v>0</v>
      </c>
    </row>
    <row r="173" spans="3:31" x14ac:dyDescent="0.3">
      <c r="C173" s="1" t="s">
        <v>43</v>
      </c>
      <c r="F173" s="1" t="s">
        <v>27</v>
      </c>
      <c r="H173" s="1" t="s">
        <v>19</v>
      </c>
      <c r="J173" s="1" t="s">
        <v>46</v>
      </c>
      <c r="K173" s="1" t="str">
        <f>IF(TRIM(sales_dataset[[#This Row],[Region]])="", J175, PROPER(TRIM(sales_dataset[[#This Row],[Region]])))</f>
        <v>North</v>
      </c>
      <c r="N173" s="1" t="s">
        <v>30</v>
      </c>
      <c r="Q173" s="1" t="s">
        <v>41</v>
      </c>
      <c r="R173" s="1" t="str">
        <f>IF(TRIM(sales_dataset[[#This Row],[ProductCategory]])="", R191, PROPER(TRIM(sales_dataset[[#This Row],[ProductCategory]])))</f>
        <v>Home</v>
      </c>
      <c r="T173" s="1" t="s">
        <v>19</v>
      </c>
      <c r="V173">
        <v>1</v>
      </c>
      <c r="W173" t="str">
        <f>IF(TRIM(sales_dataset[[#This Row],[Quantity]])="",V179,PROPER(TRIM(sales_dataset[[#This Row],[Quantity]])))</f>
        <v>1</v>
      </c>
      <c r="Y173">
        <v>2000</v>
      </c>
      <c r="Z173" t="str">
        <f>IF(TRIM(sales_dataset[[#This Row],[UnitPrice]])="",Y175,PROPER(TRIM(sales_dataset[[#This Row],[UnitPrice]])))</f>
        <v>2000</v>
      </c>
      <c r="AB173">
        <v>2000</v>
      </c>
      <c r="AC173" s="1" t="str">
        <f>IF(TRIM(sales_dataset[[#This Row],[TotalRevenue]])="",AB175,PROPER(TRIM(sales_dataset[[#This Row],[TotalRevenue]])))</f>
        <v>2000</v>
      </c>
      <c r="AD173" s="1">
        <f>ABS(sales_dataset[[#This Row],[Column5]])</f>
        <v>2000</v>
      </c>
      <c r="AE173" s="1">
        <f>sales_dataset[[#This Row],[Column17]]*sales_dataset[[#This Row],[Column16]]</f>
        <v>0</v>
      </c>
    </row>
    <row r="174" spans="3:31" x14ac:dyDescent="0.3">
      <c r="C174" s="1" t="s">
        <v>51</v>
      </c>
      <c r="F174" s="1" t="s">
        <v>19</v>
      </c>
      <c r="H174" s="1" t="s">
        <v>19</v>
      </c>
      <c r="J174" s="1" t="s">
        <v>37</v>
      </c>
      <c r="K174" s="1" t="str">
        <f>IF(TRIM(sales_dataset[[#This Row],[Region]])="", J176, PROPER(TRIM(sales_dataset[[#This Row],[Region]])))</f>
        <v>North</v>
      </c>
      <c r="N174" s="1" t="s">
        <v>19</v>
      </c>
      <c r="Q174" s="1" t="s">
        <v>63</v>
      </c>
      <c r="R174" s="1" t="str">
        <f>IF(TRIM(sales_dataset[[#This Row],[ProductCategory]])="", R192, PROPER(TRIM(sales_dataset[[#This Row],[ProductCategory]])))</f>
        <v>Clothing</v>
      </c>
      <c r="T174" s="1" t="s">
        <v>33</v>
      </c>
      <c r="V174">
        <v>5</v>
      </c>
      <c r="W174" t="str">
        <f>IF(TRIM(sales_dataset[[#This Row],[Quantity]])="",V180,PROPER(TRIM(sales_dataset[[#This Row],[Quantity]])))</f>
        <v>5</v>
      </c>
      <c r="Y174">
        <v>2500</v>
      </c>
      <c r="Z174" t="str">
        <f>IF(TRIM(sales_dataset[[#This Row],[UnitPrice]])="",Y176,PROPER(TRIM(sales_dataset[[#This Row],[UnitPrice]])))</f>
        <v>2500</v>
      </c>
      <c r="AB174">
        <v>12500</v>
      </c>
      <c r="AC174" s="1" t="str">
        <f>IF(TRIM(sales_dataset[[#This Row],[TotalRevenue]])="",AB176,PROPER(TRIM(sales_dataset[[#This Row],[TotalRevenue]])))</f>
        <v>12500</v>
      </c>
      <c r="AD174" s="1">
        <f>ABS(sales_dataset[[#This Row],[Column5]])</f>
        <v>12500</v>
      </c>
      <c r="AE174" s="1">
        <f>sales_dataset[[#This Row],[Column17]]*sales_dataset[[#This Row],[Column16]]</f>
        <v>0</v>
      </c>
    </row>
    <row r="175" spans="3:31" x14ac:dyDescent="0.3">
      <c r="C175" s="1" t="s">
        <v>19</v>
      </c>
      <c r="F175" s="1" t="s">
        <v>53</v>
      </c>
      <c r="H175" s="1" t="s">
        <v>45</v>
      </c>
      <c r="J175" s="1" t="s">
        <v>37</v>
      </c>
      <c r="K175" s="1" t="str">
        <f>IF(TRIM(sales_dataset[[#This Row],[Region]])="", J177, PROPER(TRIM(sales_dataset[[#This Row],[Region]])))</f>
        <v>North</v>
      </c>
      <c r="N175" s="1" t="s">
        <v>56</v>
      </c>
      <c r="Q175" s="1" t="s">
        <v>41</v>
      </c>
      <c r="R175" s="1" t="str">
        <f>IF(TRIM(sales_dataset[[#This Row],[ProductCategory]])="", R193, PROPER(TRIM(sales_dataset[[#This Row],[ProductCategory]])))</f>
        <v>Home</v>
      </c>
      <c r="T175" s="1" t="s">
        <v>95</v>
      </c>
      <c r="W175">
        <f>IF(TRIM(sales_dataset[[#This Row],[Quantity]])="",V181,PROPER(TRIM(sales_dataset[[#This Row],[Quantity]])))</f>
        <v>1</v>
      </c>
      <c r="Z175">
        <f>IF(TRIM(sales_dataset[[#This Row],[UnitPrice]])="",Y177,PROPER(TRIM(sales_dataset[[#This Row],[UnitPrice]])))</f>
        <v>2000</v>
      </c>
      <c r="AC175" s="1">
        <f>IF(TRIM(sales_dataset[[#This Row],[TotalRevenue]])="",AB177,PROPER(TRIM(sales_dataset[[#This Row],[TotalRevenue]])))</f>
        <v>2000</v>
      </c>
      <c r="AD175" s="1">
        <f>ABS(sales_dataset[[#This Row],[Column5]])</f>
        <v>2000</v>
      </c>
      <c r="AE175" s="1">
        <f>sales_dataset[[#This Row],[Column17]]*sales_dataset[[#This Row],[Column16]]</f>
        <v>0</v>
      </c>
    </row>
    <row r="176" spans="3:31" x14ac:dyDescent="0.3">
      <c r="C176" s="1" t="s">
        <v>16</v>
      </c>
      <c r="F176" s="1" t="s">
        <v>72</v>
      </c>
      <c r="H176" s="1" t="s">
        <v>45</v>
      </c>
      <c r="J176" s="1" t="s">
        <v>37</v>
      </c>
      <c r="K176" s="1" t="str">
        <f>IF(TRIM(sales_dataset[[#This Row],[Region]])="", J178, PROPER(TRIM(sales_dataset[[#This Row],[Region]])))</f>
        <v>North</v>
      </c>
      <c r="N176" s="1" t="s">
        <v>21</v>
      </c>
      <c r="Q176" s="1" t="s">
        <v>19</v>
      </c>
      <c r="R176" s="1" t="str">
        <f>IF(TRIM(sales_dataset[[#This Row],[ProductCategory]])="", R194, PROPER(TRIM(sales_dataset[[#This Row],[ProductCategory]])))</f>
        <v>Electronics</v>
      </c>
      <c r="T176" s="1" t="s">
        <v>76</v>
      </c>
      <c r="V176">
        <v>5</v>
      </c>
      <c r="W176" t="str">
        <f>IF(TRIM(sales_dataset[[#This Row],[Quantity]])="",V182,PROPER(TRIM(sales_dataset[[#This Row],[Quantity]])))</f>
        <v>5</v>
      </c>
      <c r="Z176">
        <f>IF(TRIM(sales_dataset[[#This Row],[UnitPrice]])="",Y178,PROPER(TRIM(sales_dataset[[#This Row],[UnitPrice]])))</f>
        <v>500</v>
      </c>
      <c r="AC176" s="1">
        <f>IF(TRIM(sales_dataset[[#This Row],[TotalRevenue]])="",AB178,PROPER(TRIM(sales_dataset[[#This Row],[TotalRevenue]])))</f>
        <v>1500</v>
      </c>
      <c r="AD176" s="1">
        <f>ABS(sales_dataset[[#This Row],[Column5]])</f>
        <v>1500</v>
      </c>
      <c r="AE176" s="1">
        <f>sales_dataset[[#This Row],[Column17]]*sales_dataset[[#This Row],[Column16]]</f>
        <v>0</v>
      </c>
    </row>
    <row r="177" spans="3:31" x14ac:dyDescent="0.3">
      <c r="C177" s="1" t="s">
        <v>25</v>
      </c>
      <c r="F177" s="1" t="s">
        <v>60</v>
      </c>
      <c r="H177" s="1" t="s">
        <v>79</v>
      </c>
      <c r="J177" s="1" t="s">
        <v>37</v>
      </c>
      <c r="K177" s="1" t="str">
        <f>IF(TRIM(sales_dataset[[#This Row],[Region]])="", J179, PROPER(TRIM(sales_dataset[[#This Row],[Region]])))</f>
        <v>North</v>
      </c>
      <c r="N177" s="1" t="s">
        <v>39</v>
      </c>
      <c r="Q177" s="1" t="s">
        <v>41</v>
      </c>
      <c r="R177" s="1" t="str">
        <f>IF(TRIM(sales_dataset[[#This Row],[ProductCategory]])="", R195, PROPER(TRIM(sales_dataset[[#This Row],[ProductCategory]])))</f>
        <v>Home</v>
      </c>
      <c r="T177" s="1" t="s">
        <v>19</v>
      </c>
      <c r="V177">
        <v>1</v>
      </c>
      <c r="W177" t="str">
        <f>IF(TRIM(sales_dataset[[#This Row],[Quantity]])="",V183,PROPER(TRIM(sales_dataset[[#This Row],[Quantity]])))</f>
        <v>1</v>
      </c>
      <c r="Y177">
        <v>2000</v>
      </c>
      <c r="Z177" t="str">
        <f>IF(TRIM(sales_dataset[[#This Row],[UnitPrice]])="",Y179,PROPER(TRIM(sales_dataset[[#This Row],[UnitPrice]])))</f>
        <v>2000</v>
      </c>
      <c r="AB177">
        <v>2000</v>
      </c>
      <c r="AC177" s="1" t="str">
        <f>IF(TRIM(sales_dataset[[#This Row],[TotalRevenue]])="",AB179,PROPER(TRIM(sales_dataset[[#This Row],[TotalRevenue]])))</f>
        <v>2000</v>
      </c>
      <c r="AD177" s="1">
        <f>ABS(sales_dataset[[#This Row],[Column5]])</f>
        <v>2000</v>
      </c>
      <c r="AE177" s="1">
        <f>sales_dataset[[#This Row],[Column17]]*sales_dataset[[#This Row],[Column16]]</f>
        <v>0</v>
      </c>
    </row>
    <row r="178" spans="3:31" x14ac:dyDescent="0.3">
      <c r="C178" s="1" t="s">
        <v>35</v>
      </c>
      <c r="F178" s="1" t="s">
        <v>27</v>
      </c>
      <c r="H178" s="1" t="s">
        <v>79</v>
      </c>
      <c r="J178" s="1" t="s">
        <v>37</v>
      </c>
      <c r="K178" s="1" t="str">
        <f>IF(TRIM(sales_dataset[[#This Row],[Region]])="", J180, PROPER(TRIM(sales_dataset[[#This Row],[Region]])))</f>
        <v>North</v>
      </c>
      <c r="N178" s="1" t="s">
        <v>21</v>
      </c>
      <c r="Q178" s="1" t="s">
        <v>19</v>
      </c>
      <c r="R178" s="1" t="str">
        <f>IF(TRIM(sales_dataset[[#This Row],[ProductCategory]])="", R196, PROPER(TRIM(sales_dataset[[#This Row],[ProductCategory]])))</f>
        <v>Electronics</v>
      </c>
      <c r="T178" s="1" t="s">
        <v>23</v>
      </c>
      <c r="V178">
        <v>3</v>
      </c>
      <c r="W178" t="str">
        <f>IF(TRIM(sales_dataset[[#This Row],[Quantity]])="",V184,PROPER(TRIM(sales_dataset[[#This Row],[Quantity]])))</f>
        <v>3</v>
      </c>
      <c r="Y178">
        <v>500</v>
      </c>
      <c r="Z178" t="str">
        <f>IF(TRIM(sales_dataset[[#This Row],[UnitPrice]])="",Y180,PROPER(TRIM(sales_dataset[[#This Row],[UnitPrice]])))</f>
        <v>500</v>
      </c>
      <c r="AB178">
        <v>1500</v>
      </c>
      <c r="AC178" s="1" t="str">
        <f>IF(TRIM(sales_dataset[[#This Row],[TotalRevenue]])="",AB180,PROPER(TRIM(sales_dataset[[#This Row],[TotalRevenue]])))</f>
        <v>1500</v>
      </c>
      <c r="AD178" s="1">
        <f>ABS(sales_dataset[[#This Row],[Column5]])</f>
        <v>1500</v>
      </c>
      <c r="AE178" s="1">
        <f>sales_dataset[[#This Row],[Column17]]*sales_dataset[[#This Row],[Column16]]</f>
        <v>0</v>
      </c>
    </row>
    <row r="179" spans="3:31" x14ac:dyDescent="0.3">
      <c r="C179" s="1" t="s">
        <v>43</v>
      </c>
      <c r="F179" s="1" t="s">
        <v>19</v>
      </c>
      <c r="H179" s="1" t="s">
        <v>45</v>
      </c>
      <c r="J179" s="1" t="s">
        <v>46</v>
      </c>
      <c r="K179" s="1" t="str">
        <f>IF(TRIM(sales_dataset[[#This Row],[Region]])="", J181, PROPER(TRIM(sales_dataset[[#This Row],[Region]])))</f>
        <v>North</v>
      </c>
      <c r="N179" s="1" t="s">
        <v>21</v>
      </c>
      <c r="Q179" s="1" t="s">
        <v>63</v>
      </c>
      <c r="R179" s="1" t="str">
        <f>IF(TRIM(sales_dataset[[#This Row],[ProductCategory]])="", R197, PROPER(TRIM(sales_dataset[[#This Row],[ProductCategory]])))</f>
        <v>Clothing</v>
      </c>
      <c r="T179" s="1" t="s">
        <v>19</v>
      </c>
      <c r="V179">
        <v>1</v>
      </c>
      <c r="W179" t="str">
        <f>IF(TRIM(sales_dataset[[#This Row],[Quantity]])="",V185,PROPER(TRIM(sales_dataset[[#This Row],[Quantity]])))</f>
        <v>1</v>
      </c>
      <c r="Y179">
        <v>-100</v>
      </c>
      <c r="Z179" t="str">
        <f>IF(TRIM(sales_dataset[[#This Row],[UnitPrice]])="",Y181,PROPER(TRIM(sales_dataset[[#This Row],[UnitPrice]])))</f>
        <v>-100</v>
      </c>
      <c r="AB179">
        <v>-100</v>
      </c>
      <c r="AC179" s="1" t="str">
        <f>IF(TRIM(sales_dataset[[#This Row],[TotalRevenue]])="",AB181,PROPER(TRIM(sales_dataset[[#This Row],[TotalRevenue]])))</f>
        <v>-100</v>
      </c>
      <c r="AD179" s="1">
        <f>ABS(sales_dataset[[#This Row],[Column5]])</f>
        <v>100</v>
      </c>
      <c r="AE179" s="1">
        <f>sales_dataset[[#This Row],[Column17]]*sales_dataset[[#This Row],[Column16]]</f>
        <v>0</v>
      </c>
    </row>
    <row r="180" spans="3:31" x14ac:dyDescent="0.3">
      <c r="C180" s="1" t="s">
        <v>51</v>
      </c>
      <c r="F180" s="1" t="s">
        <v>18</v>
      </c>
      <c r="H180" s="1" t="s">
        <v>73</v>
      </c>
      <c r="J180" s="1" t="s">
        <v>66</v>
      </c>
      <c r="K180" s="1" t="str">
        <f>IF(TRIM(sales_dataset[[#This Row],[Region]])="", J182, PROPER(TRIM(sales_dataset[[#This Row],[Region]])))</f>
        <v>West</v>
      </c>
      <c r="N180" s="1" t="s">
        <v>56</v>
      </c>
      <c r="Q180" s="1" t="s">
        <v>32</v>
      </c>
      <c r="R180" s="1" t="str">
        <f>IF(TRIM(sales_dataset[[#This Row],[ProductCategory]])="", R198, PROPER(TRIM(sales_dataset[[#This Row],[ProductCategory]])))</f>
        <v>Electronics</v>
      </c>
      <c r="T180" s="1" t="s">
        <v>87</v>
      </c>
      <c r="V180">
        <v>-1</v>
      </c>
      <c r="W180" t="str">
        <f>IF(TRIM(sales_dataset[[#This Row],[Quantity]])="",V186,PROPER(TRIM(sales_dataset[[#This Row],[Quantity]])))</f>
        <v>-1</v>
      </c>
      <c r="Y180">
        <v>2000</v>
      </c>
      <c r="Z180" t="str">
        <f>IF(TRIM(sales_dataset[[#This Row],[UnitPrice]])="",Y182,PROPER(TRIM(sales_dataset[[#This Row],[UnitPrice]])))</f>
        <v>2000</v>
      </c>
      <c r="AB180">
        <v>-2000</v>
      </c>
      <c r="AC180" s="1" t="str">
        <f>IF(TRIM(sales_dataset[[#This Row],[TotalRevenue]])="",AB182,PROPER(TRIM(sales_dataset[[#This Row],[TotalRevenue]])))</f>
        <v>-2000</v>
      </c>
      <c r="AD180" s="1">
        <f>ABS(sales_dataset[[#This Row],[Column5]])</f>
        <v>2000</v>
      </c>
      <c r="AE180" s="1">
        <f>sales_dataset[[#This Row],[Column17]]*sales_dataset[[#This Row],[Column16]]</f>
        <v>0</v>
      </c>
    </row>
    <row r="181" spans="3:31" x14ac:dyDescent="0.3">
      <c r="C181" s="1" t="s">
        <v>19</v>
      </c>
      <c r="F181" s="1" t="s">
        <v>18</v>
      </c>
      <c r="H181" s="1" t="s">
        <v>45</v>
      </c>
      <c r="J181" s="1" t="s">
        <v>66</v>
      </c>
      <c r="K181" s="1" t="str">
        <f>IF(TRIM(sales_dataset[[#This Row],[Region]])="", J183, PROPER(TRIM(sales_dataset[[#This Row],[Region]])))</f>
        <v>West</v>
      </c>
      <c r="N181" s="1" t="s">
        <v>30</v>
      </c>
      <c r="Q181" s="1" t="s">
        <v>41</v>
      </c>
      <c r="R181" s="1" t="str">
        <f>IF(TRIM(sales_dataset[[#This Row],[ProductCategory]])="", R199, PROPER(TRIM(sales_dataset[[#This Row],[ProductCategory]])))</f>
        <v>Home</v>
      </c>
      <c r="T181" s="1" t="s">
        <v>95</v>
      </c>
      <c r="V181">
        <v>1</v>
      </c>
      <c r="W181" t="str">
        <f>IF(TRIM(sales_dataset[[#This Row],[Quantity]])="",V187,PROPER(TRIM(sales_dataset[[#This Row],[Quantity]])))</f>
        <v>1</v>
      </c>
      <c r="Z181">
        <f>IF(TRIM(sales_dataset[[#This Row],[UnitPrice]])="",Y183,PROPER(TRIM(sales_dataset[[#This Row],[UnitPrice]])))</f>
        <v>1500</v>
      </c>
      <c r="AC181" s="1">
        <f>IF(TRIM(sales_dataset[[#This Row],[TotalRevenue]])="",AB183,PROPER(TRIM(sales_dataset[[#This Row],[TotalRevenue]])))</f>
        <v>3000</v>
      </c>
      <c r="AD181" s="1">
        <f>ABS(sales_dataset[[#This Row],[Column5]])</f>
        <v>3000</v>
      </c>
      <c r="AE181" s="1">
        <f>sales_dataset[[#This Row],[Column17]]*sales_dataset[[#This Row],[Column16]]</f>
        <v>0</v>
      </c>
    </row>
    <row r="182" spans="3:31" x14ac:dyDescent="0.3">
      <c r="C182" s="1" t="s">
        <v>16</v>
      </c>
      <c r="F182" s="1" t="s">
        <v>118</v>
      </c>
      <c r="H182" s="1" t="s">
        <v>79</v>
      </c>
      <c r="J182" s="1" t="s">
        <v>46</v>
      </c>
      <c r="K182" s="1" t="str">
        <f>IF(TRIM(sales_dataset[[#This Row],[Region]])="", J184, PROPER(TRIM(sales_dataset[[#This Row],[Region]])))</f>
        <v>North</v>
      </c>
      <c r="N182" s="1" t="s">
        <v>48</v>
      </c>
      <c r="Q182" s="1" t="s">
        <v>19</v>
      </c>
      <c r="R182" s="1" t="str">
        <f>IF(TRIM(sales_dataset[[#This Row],[ProductCategory]])="", R200, PROPER(TRIM(sales_dataset[[#This Row],[ProductCategory]])))</f>
        <v>Clothing</v>
      </c>
      <c r="T182" s="1" t="s">
        <v>95</v>
      </c>
      <c r="V182">
        <v>4</v>
      </c>
      <c r="W182" t="str">
        <f>IF(TRIM(sales_dataset[[#This Row],[Quantity]])="",V188,PROPER(TRIM(sales_dataset[[#This Row],[Quantity]])))</f>
        <v>4</v>
      </c>
      <c r="Y182">
        <v>1500</v>
      </c>
      <c r="Z182" t="str">
        <f>IF(TRIM(sales_dataset[[#This Row],[UnitPrice]])="",Y184,PROPER(TRIM(sales_dataset[[#This Row],[UnitPrice]])))</f>
        <v>1500</v>
      </c>
      <c r="AB182">
        <v>6000</v>
      </c>
      <c r="AC182" s="1" t="str">
        <f>IF(TRIM(sales_dataset[[#This Row],[TotalRevenue]])="",AB184,PROPER(TRIM(sales_dataset[[#This Row],[TotalRevenue]])))</f>
        <v>6000</v>
      </c>
      <c r="AD182" s="1">
        <f>ABS(sales_dataset[[#This Row],[Column5]])</f>
        <v>6000</v>
      </c>
      <c r="AE182" s="1">
        <f>sales_dataset[[#This Row],[Column17]]*sales_dataset[[#This Row],[Column16]]</f>
        <v>0</v>
      </c>
    </row>
    <row r="183" spans="3:31" x14ac:dyDescent="0.3">
      <c r="C183" s="1" t="s">
        <v>25</v>
      </c>
      <c r="F183" s="1" t="s">
        <v>53</v>
      </c>
      <c r="H183" s="1" t="s">
        <v>19</v>
      </c>
      <c r="J183" s="1" t="s">
        <v>19</v>
      </c>
      <c r="K183" s="1" t="str">
        <f>IF(TRIM(sales_dataset[[#This Row],[Region]])="", J185, PROPER(TRIM(sales_dataset[[#This Row],[Region]])))</f>
        <v>East</v>
      </c>
      <c r="N183" s="1" t="s">
        <v>39</v>
      </c>
      <c r="Q183" s="1" t="s">
        <v>32</v>
      </c>
      <c r="R183" s="1" t="str">
        <f>IF(TRIM(sales_dataset[[#This Row],[ProductCategory]])="", R201, PROPER(TRIM(sales_dataset[[#This Row],[ProductCategory]])))</f>
        <v>Electronics</v>
      </c>
      <c r="T183" s="1" t="s">
        <v>95</v>
      </c>
      <c r="V183">
        <v>2</v>
      </c>
      <c r="W183" t="str">
        <f>IF(TRIM(sales_dataset[[#This Row],[Quantity]])="",V189,PROPER(TRIM(sales_dataset[[#This Row],[Quantity]])))</f>
        <v>2</v>
      </c>
      <c r="Y183">
        <v>1500</v>
      </c>
      <c r="Z183" t="str">
        <f>IF(TRIM(sales_dataset[[#This Row],[UnitPrice]])="",Y185,PROPER(TRIM(sales_dataset[[#This Row],[UnitPrice]])))</f>
        <v>1500</v>
      </c>
      <c r="AB183">
        <v>3000</v>
      </c>
      <c r="AC183" s="1" t="str">
        <f>IF(TRIM(sales_dataset[[#This Row],[TotalRevenue]])="",AB185,PROPER(TRIM(sales_dataset[[#This Row],[TotalRevenue]])))</f>
        <v>3000</v>
      </c>
      <c r="AD183" s="1">
        <f>ABS(sales_dataset[[#This Row],[Column5]])</f>
        <v>3000</v>
      </c>
      <c r="AE183" s="1">
        <f>sales_dataset[[#This Row],[Column17]]*sales_dataset[[#This Row],[Column16]]</f>
        <v>0</v>
      </c>
    </row>
    <row r="184" spans="3:31" x14ac:dyDescent="0.3">
      <c r="C184" s="1" t="s">
        <v>35</v>
      </c>
      <c r="F184" s="1" t="s">
        <v>27</v>
      </c>
      <c r="H184" s="1" t="s">
        <v>79</v>
      </c>
      <c r="J184" s="1" t="s">
        <v>66</v>
      </c>
      <c r="K184" s="1" t="str">
        <f>IF(TRIM(sales_dataset[[#This Row],[Region]])="", J186, PROPER(TRIM(sales_dataset[[#This Row],[Region]])))</f>
        <v>West</v>
      </c>
      <c r="N184" s="1" t="s">
        <v>19</v>
      </c>
      <c r="Q184" s="1" t="s">
        <v>63</v>
      </c>
      <c r="R184" s="1" t="str">
        <f>IF(TRIM(sales_dataset[[#This Row],[ProductCategory]])="", R202, PROPER(TRIM(sales_dataset[[#This Row],[ProductCategory]])))</f>
        <v>Clothing</v>
      </c>
      <c r="T184" s="1" t="s">
        <v>19</v>
      </c>
      <c r="V184">
        <v>5</v>
      </c>
      <c r="W184" t="str">
        <f>IF(TRIM(sales_dataset[[#This Row],[Quantity]])="",V190,PROPER(TRIM(sales_dataset[[#This Row],[Quantity]])))</f>
        <v>5</v>
      </c>
      <c r="Z184">
        <f>IF(TRIM(sales_dataset[[#This Row],[UnitPrice]])="",Y186,PROPER(TRIM(sales_dataset[[#This Row],[UnitPrice]])))</f>
        <v>0</v>
      </c>
      <c r="AC184" s="1">
        <f>IF(TRIM(sales_dataset[[#This Row],[TotalRevenue]])="",AB186,PROPER(TRIM(sales_dataset[[#This Row],[TotalRevenue]])))</f>
        <v>0</v>
      </c>
      <c r="AD184" s="1">
        <f>ABS(sales_dataset[[#This Row],[Column5]])</f>
        <v>0</v>
      </c>
      <c r="AE184" s="1">
        <f>sales_dataset[[#This Row],[Column17]]*sales_dataset[[#This Row],[Column16]]</f>
        <v>0</v>
      </c>
    </row>
    <row r="185" spans="3:31" x14ac:dyDescent="0.3">
      <c r="C185" s="1" t="s">
        <v>43</v>
      </c>
      <c r="F185" s="1" t="s">
        <v>53</v>
      </c>
      <c r="H185" s="1" t="s">
        <v>54</v>
      </c>
      <c r="J185" s="1" t="s">
        <v>80</v>
      </c>
      <c r="K185" s="1" t="str">
        <f>IF(TRIM(sales_dataset[[#This Row],[Region]])="", J187, PROPER(TRIM(sales_dataset[[#This Row],[Region]])))</f>
        <v>East</v>
      </c>
      <c r="N185" s="1" t="s">
        <v>39</v>
      </c>
      <c r="Q185" s="1" t="s">
        <v>19</v>
      </c>
      <c r="R185" s="1" t="str">
        <f>IF(TRIM(sales_dataset[[#This Row],[ProductCategory]])="", R203, PROPER(TRIM(sales_dataset[[#This Row],[ProductCategory]])))</f>
        <v>Electronics</v>
      </c>
      <c r="T185" s="1" t="s">
        <v>76</v>
      </c>
      <c r="V185">
        <v>2</v>
      </c>
      <c r="W185" t="str">
        <f>IF(TRIM(sales_dataset[[#This Row],[Quantity]])="",V191,PROPER(TRIM(sales_dataset[[#This Row],[Quantity]])))</f>
        <v>2</v>
      </c>
      <c r="Y185">
        <v>500</v>
      </c>
      <c r="Z185" t="str">
        <f>IF(TRIM(sales_dataset[[#This Row],[UnitPrice]])="",Y187,PROPER(TRIM(sales_dataset[[#This Row],[UnitPrice]])))</f>
        <v>500</v>
      </c>
      <c r="AB185">
        <v>1000</v>
      </c>
      <c r="AC185" s="1" t="str">
        <f>IF(TRIM(sales_dataset[[#This Row],[TotalRevenue]])="",AB187,PROPER(TRIM(sales_dataset[[#This Row],[TotalRevenue]])))</f>
        <v>1000</v>
      </c>
      <c r="AD185" s="1">
        <f>ABS(sales_dataset[[#This Row],[Column5]])</f>
        <v>1000</v>
      </c>
      <c r="AE185" s="1">
        <f>sales_dataset[[#This Row],[Column17]]*sales_dataset[[#This Row],[Column16]]</f>
        <v>0</v>
      </c>
    </row>
    <row r="186" spans="3:31" x14ac:dyDescent="0.3">
      <c r="C186" s="1" t="s">
        <v>51</v>
      </c>
      <c r="F186" s="1" t="s">
        <v>60</v>
      </c>
      <c r="H186" s="1" t="s">
        <v>73</v>
      </c>
      <c r="J186" s="1" t="s">
        <v>80</v>
      </c>
      <c r="K186" s="1" t="str">
        <f>IF(TRIM(sales_dataset[[#This Row],[Region]])="", J188, PROPER(TRIM(sales_dataset[[#This Row],[Region]])))</f>
        <v>East</v>
      </c>
      <c r="N186" s="1" t="s">
        <v>30</v>
      </c>
      <c r="Q186" s="1" t="s">
        <v>63</v>
      </c>
      <c r="R186" s="1" t="str">
        <f>IF(TRIM(sales_dataset[[#This Row],[ProductCategory]])="", R204, PROPER(TRIM(sales_dataset[[#This Row],[ProductCategory]])))</f>
        <v>Clothing</v>
      </c>
      <c r="T186" s="1" t="s">
        <v>23</v>
      </c>
      <c r="V186">
        <v>-1</v>
      </c>
      <c r="W186" t="str">
        <f>IF(TRIM(sales_dataset[[#This Row],[Quantity]])="",V192,PROPER(TRIM(sales_dataset[[#This Row],[Quantity]])))</f>
        <v>-1</v>
      </c>
      <c r="Z186">
        <f>IF(TRIM(sales_dataset[[#This Row],[UnitPrice]])="",Y188,PROPER(TRIM(sales_dataset[[#This Row],[UnitPrice]])))</f>
        <v>2500</v>
      </c>
      <c r="AC186" s="1">
        <f>IF(TRIM(sales_dataset[[#This Row],[TotalRevenue]])="",AB188,PROPER(TRIM(sales_dataset[[#This Row],[TotalRevenue]])))</f>
        <v>-2500</v>
      </c>
      <c r="AD186" s="1">
        <f>ABS(sales_dataset[[#This Row],[Column5]])</f>
        <v>2500</v>
      </c>
      <c r="AE186" s="1">
        <f>sales_dataset[[#This Row],[Column17]]*sales_dataset[[#This Row],[Column16]]</f>
        <v>0</v>
      </c>
    </row>
    <row r="187" spans="3:31" x14ac:dyDescent="0.3">
      <c r="C187" s="1" t="s">
        <v>19</v>
      </c>
      <c r="F187" s="1" t="s">
        <v>19</v>
      </c>
      <c r="H187" s="1" t="s">
        <v>28</v>
      </c>
      <c r="J187" s="1" t="s">
        <v>19</v>
      </c>
      <c r="K187" s="1" t="str">
        <f>IF(TRIM(sales_dataset[[#This Row],[Region]])="", J189, PROPER(TRIM(sales_dataset[[#This Row],[Region]])))</f>
        <v>East</v>
      </c>
      <c r="N187" s="1" t="s">
        <v>21</v>
      </c>
      <c r="Q187" s="1" t="s">
        <v>63</v>
      </c>
      <c r="R187" s="1" t="str">
        <f>IF(TRIM(sales_dataset[[#This Row],[ProductCategory]])="", R205, PROPER(TRIM(sales_dataset[[#This Row],[ProductCategory]])))</f>
        <v>Clothing</v>
      </c>
      <c r="T187" s="1" t="s">
        <v>76</v>
      </c>
      <c r="V187">
        <v>3</v>
      </c>
      <c r="W187" t="str">
        <f>IF(TRIM(sales_dataset[[#This Row],[Quantity]])="",V193,PROPER(TRIM(sales_dataset[[#This Row],[Quantity]])))</f>
        <v>3</v>
      </c>
      <c r="Y187">
        <v>1500</v>
      </c>
      <c r="Z187" t="str">
        <f>IF(TRIM(sales_dataset[[#This Row],[UnitPrice]])="",Y189,PROPER(TRIM(sales_dataset[[#This Row],[UnitPrice]])))</f>
        <v>1500</v>
      </c>
      <c r="AB187">
        <v>4500</v>
      </c>
      <c r="AC187" s="1" t="str">
        <f>IF(TRIM(sales_dataset[[#This Row],[TotalRevenue]])="",AB189,PROPER(TRIM(sales_dataset[[#This Row],[TotalRevenue]])))</f>
        <v>4500</v>
      </c>
      <c r="AD187" s="1">
        <f>ABS(sales_dataset[[#This Row],[Column5]])</f>
        <v>4500</v>
      </c>
      <c r="AE187" s="1">
        <f>sales_dataset[[#This Row],[Column17]]*sales_dataset[[#This Row],[Column16]]</f>
        <v>0</v>
      </c>
    </row>
    <row r="188" spans="3:31" x14ac:dyDescent="0.3">
      <c r="C188" s="1" t="s">
        <v>16</v>
      </c>
      <c r="F188" s="1" t="s">
        <v>18</v>
      </c>
      <c r="H188" s="1" t="s">
        <v>54</v>
      </c>
      <c r="J188" s="1" t="s">
        <v>46</v>
      </c>
      <c r="K188" s="1" t="str">
        <f>IF(TRIM(sales_dataset[[#This Row],[Region]])="", J190, PROPER(TRIM(sales_dataset[[#This Row],[Region]])))</f>
        <v>North</v>
      </c>
      <c r="N188" s="1" t="s">
        <v>48</v>
      </c>
      <c r="Q188" s="1" t="s">
        <v>82</v>
      </c>
      <c r="R188" s="1" t="str">
        <f>IF(TRIM(sales_dataset[[#This Row],[ProductCategory]])="", R206, PROPER(TRIM(sales_dataset[[#This Row],[ProductCategory]])))</f>
        <v>Electronics</v>
      </c>
      <c r="T188" s="1" t="s">
        <v>69</v>
      </c>
      <c r="V188">
        <v>-1</v>
      </c>
      <c r="W188" t="str">
        <f>IF(TRIM(sales_dataset[[#This Row],[Quantity]])="",V194,PROPER(TRIM(sales_dataset[[#This Row],[Quantity]])))</f>
        <v>-1</v>
      </c>
      <c r="Y188">
        <v>2500</v>
      </c>
      <c r="Z188" t="str">
        <f>IF(TRIM(sales_dataset[[#This Row],[UnitPrice]])="",Y190,PROPER(TRIM(sales_dataset[[#This Row],[UnitPrice]])))</f>
        <v>2500</v>
      </c>
      <c r="AB188">
        <v>-2500</v>
      </c>
      <c r="AC188" s="1" t="str">
        <f>IF(TRIM(sales_dataset[[#This Row],[TotalRevenue]])="",AB190,PROPER(TRIM(sales_dataset[[#This Row],[TotalRevenue]])))</f>
        <v>-2500</v>
      </c>
      <c r="AD188" s="1">
        <f>ABS(sales_dataset[[#This Row],[Column5]])</f>
        <v>2500</v>
      </c>
      <c r="AE188" s="1">
        <f>sales_dataset[[#This Row],[Column17]]*sales_dataset[[#This Row],[Column16]]</f>
        <v>0</v>
      </c>
    </row>
    <row r="189" spans="3:31" x14ac:dyDescent="0.3">
      <c r="C189" s="1" t="s">
        <v>25</v>
      </c>
      <c r="F189" s="1" t="s">
        <v>19</v>
      </c>
      <c r="H189" s="1" t="s">
        <v>79</v>
      </c>
      <c r="J189" s="1" t="s">
        <v>80</v>
      </c>
      <c r="K189" s="1" t="str">
        <f>IF(TRIM(sales_dataset[[#This Row],[Region]])="", J191, PROPER(TRIM(sales_dataset[[#This Row],[Region]])))</f>
        <v>East</v>
      </c>
      <c r="N189" s="1" t="s">
        <v>48</v>
      </c>
      <c r="Q189" s="1" t="s">
        <v>32</v>
      </c>
      <c r="R189" s="1" t="str">
        <f>IF(TRIM(sales_dataset[[#This Row],[ProductCategory]])="", R207, PROPER(TRIM(sales_dataset[[#This Row],[ProductCategory]])))</f>
        <v>Electronics</v>
      </c>
      <c r="T189" s="1" t="s">
        <v>69</v>
      </c>
      <c r="V189">
        <v>5</v>
      </c>
      <c r="W189" t="str">
        <f>IF(TRIM(sales_dataset[[#This Row],[Quantity]])="",V195,PROPER(TRIM(sales_dataset[[#This Row],[Quantity]])))</f>
        <v>5</v>
      </c>
      <c r="Z189">
        <f>IF(TRIM(sales_dataset[[#This Row],[UnitPrice]])="",Y191,PROPER(TRIM(sales_dataset[[#This Row],[UnitPrice]])))</f>
        <v>2500</v>
      </c>
      <c r="AC189" s="1">
        <f>IF(TRIM(sales_dataset[[#This Row],[TotalRevenue]])="",AB191,PROPER(TRIM(sales_dataset[[#This Row],[TotalRevenue]])))</f>
        <v>7500</v>
      </c>
      <c r="AD189" s="1">
        <f>ABS(sales_dataset[[#This Row],[Column5]])</f>
        <v>7500</v>
      </c>
      <c r="AE189" s="1">
        <f>sales_dataset[[#This Row],[Column17]]*sales_dataset[[#This Row],[Column16]]</f>
        <v>0</v>
      </c>
    </row>
    <row r="190" spans="3:31" x14ac:dyDescent="0.3">
      <c r="C190" s="1" t="s">
        <v>35</v>
      </c>
      <c r="F190" s="1" t="s">
        <v>53</v>
      </c>
      <c r="H190" s="1" t="s">
        <v>19</v>
      </c>
      <c r="J190" s="1" t="s">
        <v>46</v>
      </c>
      <c r="K190" s="1" t="str">
        <f>IF(TRIM(sales_dataset[[#This Row],[Region]])="", J192, PROPER(TRIM(sales_dataset[[#This Row],[Region]])))</f>
        <v>North</v>
      </c>
      <c r="N190" s="1" t="s">
        <v>48</v>
      </c>
      <c r="Q190" s="1" t="s">
        <v>82</v>
      </c>
      <c r="R190" s="1" t="str">
        <f>IF(TRIM(sales_dataset[[#This Row],[ProductCategory]])="", R208, PROPER(TRIM(sales_dataset[[#This Row],[ProductCategory]])))</f>
        <v>Electronics</v>
      </c>
      <c r="T190" s="1" t="s">
        <v>95</v>
      </c>
      <c r="V190">
        <v>2</v>
      </c>
      <c r="W190" t="str">
        <f>IF(TRIM(sales_dataset[[#This Row],[Quantity]])="",V196,PROPER(TRIM(sales_dataset[[#This Row],[Quantity]])))</f>
        <v>2</v>
      </c>
      <c r="Z190">
        <f>IF(TRIM(sales_dataset[[#This Row],[UnitPrice]])="",Y192,PROPER(TRIM(sales_dataset[[#This Row],[UnitPrice]])))</f>
        <v>500</v>
      </c>
      <c r="AC190" s="1">
        <f>IF(TRIM(sales_dataset[[#This Row],[TotalRevenue]])="",AB192,PROPER(TRIM(sales_dataset[[#This Row],[TotalRevenue]])))</f>
        <v>0</v>
      </c>
      <c r="AD190" s="1">
        <f>ABS(sales_dataset[[#This Row],[Column5]])</f>
        <v>0</v>
      </c>
      <c r="AE190" s="1">
        <f>sales_dataset[[#This Row],[Column17]]*sales_dataset[[#This Row],[Column16]]</f>
        <v>0</v>
      </c>
    </row>
    <row r="191" spans="3:31" x14ac:dyDescent="0.3">
      <c r="C191" s="1" t="s">
        <v>43</v>
      </c>
      <c r="F191" s="1" t="s">
        <v>19</v>
      </c>
      <c r="H191" s="1" t="s">
        <v>54</v>
      </c>
      <c r="J191" s="1" t="s">
        <v>80</v>
      </c>
      <c r="K191" s="1" t="str">
        <f>IF(TRIM(sales_dataset[[#This Row],[Region]])="", J193, PROPER(TRIM(sales_dataset[[#This Row],[Region]])))</f>
        <v>East</v>
      </c>
      <c r="N191" s="1" t="s">
        <v>19</v>
      </c>
      <c r="Q191" s="1" t="s">
        <v>63</v>
      </c>
      <c r="R191" s="1" t="str">
        <f>IF(TRIM(sales_dataset[[#This Row],[ProductCategory]])="", R209, PROPER(TRIM(sales_dataset[[#This Row],[ProductCategory]])))</f>
        <v>Clothing</v>
      </c>
      <c r="T191" s="1" t="s">
        <v>95</v>
      </c>
      <c r="V191">
        <v>3</v>
      </c>
      <c r="W191" t="str">
        <f>IF(TRIM(sales_dataset[[#This Row],[Quantity]])="",V197,PROPER(TRIM(sales_dataset[[#This Row],[Quantity]])))</f>
        <v>3</v>
      </c>
      <c r="Y191">
        <v>2500</v>
      </c>
      <c r="Z191" t="str">
        <f>IF(TRIM(sales_dataset[[#This Row],[UnitPrice]])="",Y193,PROPER(TRIM(sales_dataset[[#This Row],[UnitPrice]])))</f>
        <v>2500</v>
      </c>
      <c r="AB191">
        <v>7500</v>
      </c>
      <c r="AC191" s="1" t="str">
        <f>IF(TRIM(sales_dataset[[#This Row],[TotalRevenue]])="",AB193,PROPER(TRIM(sales_dataset[[#This Row],[TotalRevenue]])))</f>
        <v>7500</v>
      </c>
      <c r="AD191" s="1">
        <f>ABS(sales_dataset[[#This Row],[Column5]])</f>
        <v>7500</v>
      </c>
      <c r="AE191" s="1">
        <f>sales_dataset[[#This Row],[Column17]]*sales_dataset[[#This Row],[Column16]]</f>
        <v>0</v>
      </c>
    </row>
    <row r="192" spans="3:31" x14ac:dyDescent="0.3">
      <c r="C192" s="1" t="s">
        <v>51</v>
      </c>
      <c r="F192" s="1" t="s">
        <v>118</v>
      </c>
      <c r="H192" s="1" t="s">
        <v>54</v>
      </c>
      <c r="J192" s="1" t="s">
        <v>98</v>
      </c>
      <c r="K192" s="1" t="str">
        <f>IF(TRIM(sales_dataset[[#This Row],[Region]])="", J194, PROPER(TRIM(sales_dataset[[#This Row],[Region]])))</f>
        <v>South</v>
      </c>
      <c r="N192" s="1" t="s">
        <v>56</v>
      </c>
      <c r="Q192" s="1" t="s">
        <v>19</v>
      </c>
      <c r="R192" s="1" t="str">
        <f>IF(TRIM(sales_dataset[[#This Row],[ProductCategory]])="", R210, PROPER(TRIM(sales_dataset[[#This Row],[ProductCategory]])))</f>
        <v>Clothing</v>
      </c>
      <c r="T192" s="1" t="s">
        <v>95</v>
      </c>
      <c r="W192">
        <f>IF(TRIM(sales_dataset[[#This Row],[Quantity]])="",V198,PROPER(TRIM(sales_dataset[[#This Row],[Quantity]])))</f>
        <v>4</v>
      </c>
      <c r="Y192">
        <v>500</v>
      </c>
      <c r="Z192" t="str">
        <f>IF(TRIM(sales_dataset[[#This Row],[UnitPrice]])="",Y194,PROPER(TRIM(sales_dataset[[#This Row],[UnitPrice]])))</f>
        <v>500</v>
      </c>
      <c r="AC192" s="1">
        <f>IF(TRIM(sales_dataset[[#This Row],[TotalRevenue]])="",AB194,PROPER(TRIM(sales_dataset[[#This Row],[TotalRevenue]])))</f>
        <v>4500</v>
      </c>
      <c r="AD192" s="1">
        <f>ABS(sales_dataset[[#This Row],[Column5]])</f>
        <v>4500</v>
      </c>
      <c r="AE192" s="1">
        <f>sales_dataset[[#This Row],[Column17]]*sales_dataset[[#This Row],[Column16]]</f>
        <v>0</v>
      </c>
    </row>
    <row r="193" spans="3:31" x14ac:dyDescent="0.3">
      <c r="C193" s="1" t="s">
        <v>19</v>
      </c>
      <c r="F193" s="1" t="s">
        <v>27</v>
      </c>
      <c r="H193" s="1" t="s">
        <v>54</v>
      </c>
      <c r="J193" s="1" t="s">
        <v>19</v>
      </c>
      <c r="K193" s="1" t="str">
        <f>IF(TRIM(sales_dataset[[#This Row],[Region]])="", J195, PROPER(TRIM(sales_dataset[[#This Row],[Region]])))</f>
        <v/>
      </c>
      <c r="N193" s="1" t="s">
        <v>21</v>
      </c>
      <c r="Q193" s="1" t="s">
        <v>41</v>
      </c>
      <c r="R193" s="1" t="str">
        <f>IF(TRIM(sales_dataset[[#This Row],[ProductCategory]])="", R211, PROPER(TRIM(sales_dataset[[#This Row],[ProductCategory]])))</f>
        <v>Home</v>
      </c>
      <c r="T193" s="1" t="s">
        <v>19</v>
      </c>
      <c r="V193">
        <v>4</v>
      </c>
      <c r="W193" t="str">
        <f>IF(TRIM(sales_dataset[[#This Row],[Quantity]])="",V199,PROPER(TRIM(sales_dataset[[#This Row],[Quantity]])))</f>
        <v>4</v>
      </c>
      <c r="Y193">
        <v>2000</v>
      </c>
      <c r="Z193" t="str">
        <f>IF(TRIM(sales_dataset[[#This Row],[UnitPrice]])="",Y195,PROPER(TRIM(sales_dataset[[#This Row],[UnitPrice]])))</f>
        <v>2000</v>
      </c>
      <c r="AB193">
        <v>4000</v>
      </c>
      <c r="AC193" s="1" t="str">
        <f>IF(TRIM(sales_dataset[[#This Row],[TotalRevenue]])="",AB195,PROPER(TRIM(sales_dataset[[#This Row],[TotalRevenue]])))</f>
        <v>4000</v>
      </c>
      <c r="AD193" s="1">
        <f>ABS(sales_dataset[[#This Row],[Column5]])</f>
        <v>4000</v>
      </c>
      <c r="AE193" s="1">
        <f>sales_dataset[[#This Row],[Column17]]*sales_dataset[[#This Row],[Column16]]</f>
        <v>0</v>
      </c>
    </row>
    <row r="194" spans="3:31" x14ac:dyDescent="0.3">
      <c r="C194" s="1" t="s">
        <v>16</v>
      </c>
      <c r="F194" s="1" t="s">
        <v>18</v>
      </c>
      <c r="H194" s="1" t="s">
        <v>73</v>
      </c>
      <c r="J194" s="1" t="s">
        <v>19</v>
      </c>
      <c r="K194" s="1" t="str">
        <f>IF(TRIM(sales_dataset[[#This Row],[Region]])="", J196, PROPER(TRIM(sales_dataset[[#This Row],[Region]])))</f>
        <v>North</v>
      </c>
      <c r="N194" s="1" t="s">
        <v>39</v>
      </c>
      <c r="Q194" s="1" t="s">
        <v>82</v>
      </c>
      <c r="R194" s="1" t="str">
        <f>IF(TRIM(sales_dataset[[#This Row],[ProductCategory]])="", R212, PROPER(TRIM(sales_dataset[[#This Row],[ProductCategory]])))</f>
        <v>Electronics</v>
      </c>
      <c r="T194" s="1" t="s">
        <v>23</v>
      </c>
      <c r="V194">
        <v>3</v>
      </c>
      <c r="W194" t="str">
        <f>IF(TRIM(sales_dataset[[#This Row],[Quantity]])="",V200,PROPER(TRIM(sales_dataset[[#This Row],[Quantity]])))</f>
        <v>3</v>
      </c>
      <c r="Y194">
        <v>1500</v>
      </c>
      <c r="Z194" t="str">
        <f>IF(TRIM(sales_dataset[[#This Row],[UnitPrice]])="",Y196,PROPER(TRIM(sales_dataset[[#This Row],[UnitPrice]])))</f>
        <v>1500</v>
      </c>
      <c r="AB194">
        <v>4500</v>
      </c>
      <c r="AC194" s="1" t="str">
        <f>IF(TRIM(sales_dataset[[#This Row],[TotalRevenue]])="",AB196,PROPER(TRIM(sales_dataset[[#This Row],[TotalRevenue]])))</f>
        <v>4500</v>
      </c>
      <c r="AD194" s="1">
        <f>ABS(sales_dataset[[#This Row],[Column5]])</f>
        <v>4500</v>
      </c>
      <c r="AE194" s="1">
        <f>sales_dataset[[#This Row],[Column17]]*sales_dataset[[#This Row],[Column16]]</f>
        <v>0</v>
      </c>
    </row>
    <row r="195" spans="3:31" x14ac:dyDescent="0.3">
      <c r="C195" s="1" t="s">
        <v>25</v>
      </c>
      <c r="F195" s="1" t="s">
        <v>53</v>
      </c>
      <c r="H195" s="1" t="s">
        <v>28</v>
      </c>
      <c r="J195" s="1" t="s">
        <v>19</v>
      </c>
      <c r="K195" s="1" t="str">
        <f>IF(TRIM(sales_dataset[[#This Row],[Region]])="", J197, PROPER(TRIM(sales_dataset[[#This Row],[Region]])))</f>
        <v>NORTH</v>
      </c>
      <c r="N195" s="1" t="s">
        <v>39</v>
      </c>
      <c r="Q195" s="1" t="s">
        <v>41</v>
      </c>
      <c r="R195" s="1" t="str">
        <f>IF(TRIM(sales_dataset[[#This Row],[ProductCategory]])="", R213, PROPER(TRIM(sales_dataset[[#This Row],[ProductCategory]])))</f>
        <v>Home</v>
      </c>
      <c r="T195" s="1" t="s">
        <v>23</v>
      </c>
      <c r="V195">
        <v>2</v>
      </c>
      <c r="W195" t="str">
        <f>IF(TRIM(sales_dataset[[#This Row],[Quantity]])="",V201,PROPER(TRIM(sales_dataset[[#This Row],[Quantity]])))</f>
        <v>2</v>
      </c>
      <c r="Y195">
        <v>1500</v>
      </c>
      <c r="Z195" t="str">
        <f>IF(TRIM(sales_dataset[[#This Row],[UnitPrice]])="",Y197,PROPER(TRIM(sales_dataset[[#This Row],[UnitPrice]])))</f>
        <v>1500</v>
      </c>
      <c r="AB195">
        <v>3000</v>
      </c>
      <c r="AC195" s="1" t="str">
        <f>IF(TRIM(sales_dataset[[#This Row],[TotalRevenue]])="",AB197,PROPER(TRIM(sales_dataset[[#This Row],[TotalRevenue]])))</f>
        <v>3000</v>
      </c>
      <c r="AD195" s="1">
        <f>ABS(sales_dataset[[#This Row],[Column5]])</f>
        <v>3000</v>
      </c>
      <c r="AE195" s="1">
        <f>sales_dataset[[#This Row],[Column17]]*sales_dataset[[#This Row],[Column16]]</f>
        <v>0</v>
      </c>
    </row>
    <row r="196" spans="3:31" x14ac:dyDescent="0.3">
      <c r="C196" s="1" t="s">
        <v>35</v>
      </c>
      <c r="F196" s="1" t="s">
        <v>53</v>
      </c>
      <c r="H196" s="1" t="s">
        <v>19</v>
      </c>
      <c r="J196" s="1" t="s">
        <v>46</v>
      </c>
      <c r="K196" s="1" t="str">
        <f>IF(TRIM(sales_dataset[[#This Row],[Region]])="", J198, PROPER(TRIM(sales_dataset[[#This Row],[Region]])))</f>
        <v>North</v>
      </c>
      <c r="N196" s="1" t="s">
        <v>21</v>
      </c>
      <c r="Q196" s="1" t="s">
        <v>82</v>
      </c>
      <c r="R196" s="1" t="str">
        <f>IF(TRIM(sales_dataset[[#This Row],[ProductCategory]])="", R214, PROPER(TRIM(sales_dataset[[#This Row],[ProductCategory]])))</f>
        <v>Electronics</v>
      </c>
      <c r="T196" s="1" t="s">
        <v>95</v>
      </c>
      <c r="V196">
        <v>1</v>
      </c>
      <c r="W196" t="str">
        <f>IF(TRIM(sales_dataset[[#This Row],[Quantity]])="",V202,PROPER(TRIM(sales_dataset[[#This Row],[Quantity]])))</f>
        <v>1</v>
      </c>
      <c r="Y196">
        <v>-100</v>
      </c>
      <c r="Z196" t="str">
        <f>IF(TRIM(sales_dataset[[#This Row],[UnitPrice]])="",Y198,PROPER(TRIM(sales_dataset[[#This Row],[UnitPrice]])))</f>
        <v>-100</v>
      </c>
      <c r="AB196">
        <v>-100</v>
      </c>
      <c r="AC196" s="1" t="str">
        <f>IF(TRIM(sales_dataset[[#This Row],[TotalRevenue]])="",AB198,PROPER(TRIM(sales_dataset[[#This Row],[TotalRevenue]])))</f>
        <v>-100</v>
      </c>
      <c r="AD196" s="1">
        <f>ABS(sales_dataset[[#This Row],[Column5]])</f>
        <v>100</v>
      </c>
      <c r="AE196" s="1">
        <f>sales_dataset[[#This Row],[Column17]]*sales_dataset[[#This Row],[Column16]]</f>
        <v>0</v>
      </c>
    </row>
    <row r="197" spans="3:31" x14ac:dyDescent="0.3">
      <c r="C197" s="1" t="s">
        <v>43</v>
      </c>
      <c r="F197" s="1" t="s">
        <v>19</v>
      </c>
      <c r="H197" s="1" t="s">
        <v>28</v>
      </c>
      <c r="J197" s="1" t="s">
        <v>37</v>
      </c>
      <c r="K197" s="1" t="str">
        <f>IF(TRIM(sales_dataset[[#This Row],[Region]])="", J199, PROPER(TRIM(sales_dataset[[#This Row],[Region]])))</f>
        <v>North</v>
      </c>
      <c r="N197" s="1" t="s">
        <v>39</v>
      </c>
      <c r="Q197" s="1" t="s">
        <v>32</v>
      </c>
      <c r="R197" s="1" t="str">
        <f>IF(TRIM(sales_dataset[[#This Row],[ProductCategory]])="", R215, PROPER(TRIM(sales_dataset[[#This Row],[ProductCategory]])))</f>
        <v>Electronics</v>
      </c>
      <c r="T197" s="1" t="s">
        <v>19</v>
      </c>
      <c r="V197">
        <v>5</v>
      </c>
      <c r="W197" t="str">
        <f>IF(TRIM(sales_dataset[[#This Row],[Quantity]])="",V203,PROPER(TRIM(sales_dataset[[#This Row],[Quantity]])))</f>
        <v>5</v>
      </c>
      <c r="Y197">
        <v>2000</v>
      </c>
      <c r="Z197" t="str">
        <f>IF(TRIM(sales_dataset[[#This Row],[UnitPrice]])="",Y199,PROPER(TRIM(sales_dataset[[#This Row],[UnitPrice]])))</f>
        <v>2000</v>
      </c>
      <c r="AB197">
        <v>10000</v>
      </c>
      <c r="AC197" s="1" t="str">
        <f>IF(TRIM(sales_dataset[[#This Row],[TotalRevenue]])="",AB199,PROPER(TRIM(sales_dataset[[#This Row],[TotalRevenue]])))</f>
        <v>10000</v>
      </c>
      <c r="AD197" s="1">
        <f>ABS(sales_dataset[[#This Row],[Column5]])</f>
        <v>10000</v>
      </c>
      <c r="AE197" s="1">
        <f>sales_dataset[[#This Row],[Column17]]*sales_dataset[[#This Row],[Column16]]</f>
        <v>0</v>
      </c>
    </row>
    <row r="198" spans="3:31" x14ac:dyDescent="0.3">
      <c r="C198" s="1" t="s">
        <v>51</v>
      </c>
      <c r="F198" s="1" t="s">
        <v>27</v>
      </c>
      <c r="H198" s="1" t="s">
        <v>45</v>
      </c>
      <c r="J198" s="1" t="s">
        <v>19</v>
      </c>
      <c r="K198" s="1" t="str">
        <f>IF(TRIM(sales_dataset[[#This Row],[Region]])="", J200, PROPER(TRIM(sales_dataset[[#This Row],[Region]])))</f>
        <v>South</v>
      </c>
      <c r="N198" s="1" t="s">
        <v>56</v>
      </c>
      <c r="Q198" s="1" t="s">
        <v>41</v>
      </c>
      <c r="R198" s="1" t="str">
        <f>IF(TRIM(sales_dataset[[#This Row],[ProductCategory]])="", R216, PROPER(TRIM(sales_dataset[[#This Row],[ProductCategory]])))</f>
        <v>Home</v>
      </c>
      <c r="T198" s="1" t="s">
        <v>23</v>
      </c>
      <c r="V198">
        <v>4</v>
      </c>
      <c r="W198" t="str">
        <f>IF(TRIM(sales_dataset[[#This Row],[Quantity]])="",V204,PROPER(TRIM(sales_dataset[[#This Row],[Quantity]])))</f>
        <v>4</v>
      </c>
      <c r="Y198">
        <v>2000</v>
      </c>
      <c r="Z198" t="str">
        <f>IF(TRIM(sales_dataset[[#This Row],[UnitPrice]])="",Y200,PROPER(TRIM(sales_dataset[[#This Row],[UnitPrice]])))</f>
        <v>2000</v>
      </c>
      <c r="AB198">
        <v>8000</v>
      </c>
      <c r="AC198" s="1" t="str">
        <f>IF(TRIM(sales_dataset[[#This Row],[TotalRevenue]])="",AB200,PROPER(TRIM(sales_dataset[[#This Row],[TotalRevenue]])))</f>
        <v>8000</v>
      </c>
      <c r="AD198" s="1">
        <f>ABS(sales_dataset[[#This Row],[Column5]])</f>
        <v>8000</v>
      </c>
      <c r="AE198" s="1">
        <f>sales_dataset[[#This Row],[Column17]]*sales_dataset[[#This Row],[Column16]]</f>
        <v>0</v>
      </c>
    </row>
    <row r="199" spans="3:31" x14ac:dyDescent="0.3">
      <c r="C199" s="1" t="s">
        <v>19</v>
      </c>
      <c r="F199" s="1" t="s">
        <v>19</v>
      </c>
      <c r="H199" s="1" t="s">
        <v>79</v>
      </c>
      <c r="J199" s="1" t="s">
        <v>80</v>
      </c>
      <c r="K199" s="1" t="str">
        <f>IF(TRIM(sales_dataset[[#This Row],[Region]])="", J201, PROPER(TRIM(sales_dataset[[#This Row],[Region]])))</f>
        <v>East</v>
      </c>
      <c r="N199" s="1" t="s">
        <v>48</v>
      </c>
      <c r="Q199" s="1" t="s">
        <v>82</v>
      </c>
      <c r="R199" s="1" t="str">
        <f>IF(TRIM(sales_dataset[[#This Row],[ProductCategory]])="", R217, PROPER(TRIM(sales_dataset[[#This Row],[ProductCategory]])))</f>
        <v>Electronics</v>
      </c>
      <c r="T199" s="1" t="s">
        <v>19</v>
      </c>
      <c r="V199">
        <v>2</v>
      </c>
      <c r="W199" t="str">
        <f>IF(TRIM(sales_dataset[[#This Row],[Quantity]])="",V205,PROPER(TRIM(sales_dataset[[#This Row],[Quantity]])))</f>
        <v>2</v>
      </c>
      <c r="Y199">
        <v>2000</v>
      </c>
      <c r="Z199" t="str">
        <f>IF(TRIM(sales_dataset[[#This Row],[UnitPrice]])="",Y201,PROPER(TRIM(sales_dataset[[#This Row],[UnitPrice]])))</f>
        <v>2000</v>
      </c>
      <c r="AB199">
        <v>4000</v>
      </c>
      <c r="AC199" s="1" t="str">
        <f>IF(TRIM(sales_dataset[[#This Row],[TotalRevenue]])="",AB201,PROPER(TRIM(sales_dataset[[#This Row],[TotalRevenue]])))</f>
        <v>4000</v>
      </c>
      <c r="AD199" s="1">
        <f>ABS(sales_dataset[[#This Row],[Column5]])</f>
        <v>4000</v>
      </c>
      <c r="AE199" s="1">
        <f>sales_dataset[[#This Row],[Column17]]*sales_dataset[[#This Row],[Column16]]</f>
        <v>0</v>
      </c>
    </row>
    <row r="200" spans="3:31" x14ac:dyDescent="0.3">
      <c r="C200" s="1" t="s">
        <v>16</v>
      </c>
      <c r="F200" s="1" t="s">
        <v>118</v>
      </c>
      <c r="H200" s="1" t="s">
        <v>147</v>
      </c>
      <c r="J200" s="1" t="s">
        <v>98</v>
      </c>
      <c r="K200" s="1" t="str">
        <f>IF(TRIM(sales_dataset[[#This Row],[Region]])="", J202, PROPER(TRIM(sales_dataset[[#This Row],[Region]])))</f>
        <v>South</v>
      </c>
      <c r="N200" s="1" t="s">
        <v>39</v>
      </c>
      <c r="Q200" s="1" t="s">
        <v>63</v>
      </c>
      <c r="R200" s="1" t="str">
        <f>IF(TRIM(sales_dataset[[#This Row],[ProductCategory]])="", R218, PROPER(TRIM(sales_dataset[[#This Row],[ProductCategory]])))</f>
        <v>Clothing</v>
      </c>
      <c r="T200" s="1" t="s">
        <v>33</v>
      </c>
      <c r="W200">
        <f>IF(TRIM(sales_dataset[[#This Row],[Quantity]])="",V206,PROPER(TRIM(sales_dataset[[#This Row],[Quantity]])))</f>
        <v>0</v>
      </c>
      <c r="Y200">
        <v>2000</v>
      </c>
      <c r="Z200" t="str">
        <f>IF(TRIM(sales_dataset[[#This Row],[UnitPrice]])="",Y202,PROPER(TRIM(sales_dataset[[#This Row],[UnitPrice]])))</f>
        <v>2000</v>
      </c>
      <c r="AC200" s="1">
        <f>IF(TRIM(sales_dataset[[#This Row],[TotalRevenue]])="",AB202,PROPER(TRIM(sales_dataset[[#This Row],[TotalRevenue]])))</f>
        <v>0</v>
      </c>
      <c r="AD200" s="1">
        <f>ABS(sales_dataset[[#This Row],[Column5]])</f>
        <v>0</v>
      </c>
      <c r="AE200" s="1">
        <f>sales_dataset[[#This Row],[Column17]]*sales_dataset[[#This Row],[Column16]]</f>
        <v>0</v>
      </c>
    </row>
    <row r="201" spans="3:31" x14ac:dyDescent="0.3">
      <c r="C201" s="1" t="s">
        <v>25</v>
      </c>
      <c r="F201" s="1" t="s">
        <v>60</v>
      </c>
      <c r="H201" s="1" t="s">
        <v>73</v>
      </c>
      <c r="J201" s="1" t="s">
        <v>46</v>
      </c>
      <c r="K201" s="1" t="str">
        <f>IF(TRIM(sales_dataset[[#This Row],[Region]])="", J203, PROPER(TRIM(sales_dataset[[#This Row],[Region]])))</f>
        <v>North</v>
      </c>
      <c r="N201" s="1" t="s">
        <v>56</v>
      </c>
      <c r="Q201" s="1" t="s">
        <v>19</v>
      </c>
      <c r="R201" s="1" t="str">
        <f>IF(TRIM(sales_dataset[[#This Row],[ProductCategory]])="", R219, PROPER(TRIM(sales_dataset[[#This Row],[ProductCategory]])))</f>
        <v>Clothing</v>
      </c>
      <c r="T201" s="1" t="s">
        <v>19</v>
      </c>
      <c r="V201">
        <v>4</v>
      </c>
      <c r="W201" t="str">
        <f>IF(TRIM(sales_dataset[[#This Row],[Quantity]])="",V207,PROPER(TRIM(sales_dataset[[#This Row],[Quantity]])))</f>
        <v>4</v>
      </c>
      <c r="Y201">
        <v>1500</v>
      </c>
      <c r="Z201" t="str">
        <f>IF(TRIM(sales_dataset[[#This Row],[UnitPrice]])="",Y203,PROPER(TRIM(sales_dataset[[#This Row],[UnitPrice]])))</f>
        <v>1500</v>
      </c>
      <c r="AB201">
        <v>6000</v>
      </c>
      <c r="AC201" s="1" t="str">
        <f>IF(TRIM(sales_dataset[[#This Row],[TotalRevenue]])="",AB203,PROPER(TRIM(sales_dataset[[#This Row],[TotalRevenue]])))</f>
        <v>6000</v>
      </c>
      <c r="AD201" s="1">
        <f>ABS(sales_dataset[[#This Row],[Column5]])</f>
        <v>6000</v>
      </c>
      <c r="AE201" s="1">
        <f>sales_dataset[[#This Row],[Column17]]*sales_dataset[[#This Row],[Column16]]</f>
        <v>0</v>
      </c>
    </row>
    <row r="202" spans="3:31" x14ac:dyDescent="0.3">
      <c r="C202" s="1" t="s">
        <v>35</v>
      </c>
      <c r="F202" s="1" t="s">
        <v>118</v>
      </c>
      <c r="H202" s="1" t="s">
        <v>28</v>
      </c>
      <c r="J202" s="1" t="s">
        <v>80</v>
      </c>
      <c r="K202" s="1" t="str">
        <f>IF(TRIM(sales_dataset[[#This Row],[Region]])="", J204, PROPER(TRIM(sales_dataset[[#This Row],[Region]])))</f>
        <v>East</v>
      </c>
      <c r="N202" s="1" t="s">
        <v>48</v>
      </c>
      <c r="Q202" s="1" t="s">
        <v>63</v>
      </c>
      <c r="R202" s="1" t="str">
        <f>IF(TRIM(sales_dataset[[#This Row],[ProductCategory]])="", R220, PROPER(TRIM(sales_dataset[[#This Row],[ProductCategory]])))</f>
        <v>Clothing</v>
      </c>
      <c r="T202" s="1" t="s">
        <v>95</v>
      </c>
      <c r="V202">
        <v>3</v>
      </c>
      <c r="W202" t="str">
        <f>IF(TRIM(sales_dataset[[#This Row],[Quantity]])="",V208,PROPER(TRIM(sales_dataset[[#This Row],[Quantity]])))</f>
        <v>3</v>
      </c>
      <c r="Z202">
        <f>IF(TRIM(sales_dataset[[#This Row],[UnitPrice]])="",Y204,PROPER(TRIM(sales_dataset[[#This Row],[UnitPrice]])))</f>
        <v>2500</v>
      </c>
      <c r="AC202" s="1">
        <f>IF(TRIM(sales_dataset[[#This Row],[TotalRevenue]])="",AB204,PROPER(TRIM(sales_dataset[[#This Row],[TotalRevenue]])))</f>
        <v>2500</v>
      </c>
      <c r="AD202" s="1">
        <f>ABS(sales_dataset[[#This Row],[Column5]])</f>
        <v>2500</v>
      </c>
      <c r="AE202" s="1">
        <f>sales_dataset[[#This Row],[Column17]]*sales_dataset[[#This Row],[Column16]]</f>
        <v>0</v>
      </c>
    </row>
    <row r="203" spans="3:31" x14ac:dyDescent="0.3">
      <c r="C203" s="1" t="s">
        <v>43</v>
      </c>
      <c r="F203" s="1" t="s">
        <v>60</v>
      </c>
      <c r="H203" s="1" t="s">
        <v>79</v>
      </c>
      <c r="J203" s="1" t="s">
        <v>37</v>
      </c>
      <c r="K203" s="1" t="str">
        <f>IF(TRIM(sales_dataset[[#This Row],[Region]])="", J205, PROPER(TRIM(sales_dataset[[#This Row],[Region]])))</f>
        <v>North</v>
      </c>
      <c r="N203" s="1" t="s">
        <v>19</v>
      </c>
      <c r="Q203" s="1" t="s">
        <v>32</v>
      </c>
      <c r="R203" s="1" t="str">
        <f>IF(TRIM(sales_dataset[[#This Row],[ProductCategory]])="", R221, PROPER(TRIM(sales_dataset[[#This Row],[ProductCategory]])))</f>
        <v>Electronics</v>
      </c>
      <c r="T203" s="1" t="s">
        <v>33</v>
      </c>
      <c r="V203">
        <v>2</v>
      </c>
      <c r="W203" t="str">
        <f>IF(TRIM(sales_dataset[[#This Row],[Quantity]])="",V209,PROPER(TRIM(sales_dataset[[#This Row],[Quantity]])))</f>
        <v>2</v>
      </c>
      <c r="Z203">
        <f>IF(TRIM(sales_dataset[[#This Row],[UnitPrice]])="",Y205,PROPER(TRIM(sales_dataset[[#This Row],[UnitPrice]])))</f>
        <v>0</v>
      </c>
      <c r="AC203" s="1">
        <f>IF(TRIM(sales_dataset[[#This Row],[TotalRevenue]])="",AB205,PROPER(TRIM(sales_dataset[[#This Row],[TotalRevenue]])))</f>
        <v>0</v>
      </c>
      <c r="AD203" s="1">
        <f>ABS(sales_dataset[[#This Row],[Column5]])</f>
        <v>0</v>
      </c>
      <c r="AE203" s="1">
        <f>sales_dataset[[#This Row],[Column17]]*sales_dataset[[#This Row],[Column16]]</f>
        <v>0</v>
      </c>
    </row>
    <row r="204" spans="3:31" x14ac:dyDescent="0.3">
      <c r="C204" s="1" t="s">
        <v>51</v>
      </c>
      <c r="F204" s="1" t="s">
        <v>72</v>
      </c>
      <c r="H204" s="1" t="s">
        <v>79</v>
      </c>
      <c r="J204" s="1" t="s">
        <v>80</v>
      </c>
      <c r="K204" s="1" t="str">
        <f>IF(TRIM(sales_dataset[[#This Row],[Region]])="", J206, PROPER(TRIM(sales_dataset[[#This Row],[Region]])))</f>
        <v>East</v>
      </c>
      <c r="N204" s="1" t="s">
        <v>19</v>
      </c>
      <c r="Q204" s="1" t="s">
        <v>32</v>
      </c>
      <c r="R204" s="1" t="str">
        <f>IF(TRIM(sales_dataset[[#This Row],[ProductCategory]])="", R222, PROPER(TRIM(sales_dataset[[#This Row],[ProductCategory]])))</f>
        <v>Electronics</v>
      </c>
      <c r="T204" s="1" t="s">
        <v>76</v>
      </c>
      <c r="V204">
        <v>1</v>
      </c>
      <c r="W204" t="str">
        <f>IF(TRIM(sales_dataset[[#This Row],[Quantity]])="",V210,PROPER(TRIM(sales_dataset[[#This Row],[Quantity]])))</f>
        <v>1</v>
      </c>
      <c r="Y204">
        <v>2500</v>
      </c>
      <c r="Z204" t="str">
        <f>IF(TRIM(sales_dataset[[#This Row],[UnitPrice]])="",Y206,PROPER(TRIM(sales_dataset[[#This Row],[UnitPrice]])))</f>
        <v>2500</v>
      </c>
      <c r="AB204">
        <v>2500</v>
      </c>
      <c r="AC204" s="1" t="str">
        <f>IF(TRIM(sales_dataset[[#This Row],[TotalRevenue]])="",AB206,PROPER(TRIM(sales_dataset[[#This Row],[TotalRevenue]])))</f>
        <v>2500</v>
      </c>
      <c r="AD204" s="1">
        <f>ABS(sales_dataset[[#This Row],[Column5]])</f>
        <v>2500</v>
      </c>
      <c r="AE204" s="1">
        <f>sales_dataset[[#This Row],[Column17]]*sales_dataset[[#This Row],[Column16]]</f>
        <v>0</v>
      </c>
    </row>
    <row r="205" spans="3:31" x14ac:dyDescent="0.3">
      <c r="C205" s="1" t="s">
        <v>19</v>
      </c>
      <c r="F205" s="1" t="s">
        <v>53</v>
      </c>
      <c r="H205" s="1" t="s">
        <v>73</v>
      </c>
      <c r="J205" s="1" t="s">
        <v>19</v>
      </c>
      <c r="K205" s="1" t="str">
        <f>IF(TRIM(sales_dataset[[#This Row],[Region]])="", J207, PROPER(TRIM(sales_dataset[[#This Row],[Region]])))</f>
        <v/>
      </c>
      <c r="N205" s="1" t="s">
        <v>21</v>
      </c>
      <c r="Q205" s="1" t="s">
        <v>82</v>
      </c>
      <c r="R205" s="1" t="str">
        <f>IF(TRIM(sales_dataset[[#This Row],[ProductCategory]])="", R223, PROPER(TRIM(sales_dataset[[#This Row],[ProductCategory]])))</f>
        <v>Electronics</v>
      </c>
      <c r="T205" s="1" t="s">
        <v>33</v>
      </c>
      <c r="V205">
        <v>1</v>
      </c>
      <c r="W205" t="str">
        <f>IF(TRIM(sales_dataset[[#This Row],[Quantity]])="",V211,PROPER(TRIM(sales_dataset[[#This Row],[Quantity]])))</f>
        <v>1</v>
      </c>
      <c r="Z205">
        <f>IF(TRIM(sales_dataset[[#This Row],[UnitPrice]])="",Y207,PROPER(TRIM(sales_dataset[[#This Row],[UnitPrice]])))</f>
        <v>500</v>
      </c>
      <c r="AC205" s="1">
        <f>IF(TRIM(sales_dataset[[#This Row],[TotalRevenue]])="",AB207,PROPER(TRIM(sales_dataset[[#This Row],[TotalRevenue]])))</f>
        <v>500</v>
      </c>
      <c r="AD205" s="1">
        <f>ABS(sales_dataset[[#This Row],[Column5]])</f>
        <v>500</v>
      </c>
      <c r="AE205" s="1">
        <f>sales_dataset[[#This Row],[Column17]]*sales_dataset[[#This Row],[Column16]]</f>
        <v>0</v>
      </c>
    </row>
    <row r="206" spans="3:31" x14ac:dyDescent="0.3">
      <c r="C206" s="1" t="s">
        <v>16</v>
      </c>
      <c r="F206" s="1" t="s">
        <v>53</v>
      </c>
      <c r="H206" s="1" t="s">
        <v>73</v>
      </c>
      <c r="J206" s="1" t="s">
        <v>98</v>
      </c>
      <c r="K206" s="1" t="str">
        <f>IF(TRIM(sales_dataset[[#This Row],[Region]])="", J208, PROPER(TRIM(sales_dataset[[#This Row],[Region]])))</f>
        <v>South</v>
      </c>
      <c r="N206" s="1" t="s">
        <v>21</v>
      </c>
      <c r="Q206" s="1" t="s">
        <v>63</v>
      </c>
      <c r="R206" s="1" t="str">
        <f>IF(TRIM(sales_dataset[[#This Row],[ProductCategory]])="", R224, PROPER(TRIM(sales_dataset[[#This Row],[ProductCategory]])))</f>
        <v>Clothing</v>
      </c>
      <c r="T206" s="1" t="s">
        <v>76</v>
      </c>
      <c r="W206">
        <f>IF(TRIM(sales_dataset[[#This Row],[Quantity]])="",V212,PROPER(TRIM(sales_dataset[[#This Row],[Quantity]])))</f>
        <v>4</v>
      </c>
      <c r="Y206">
        <v>-100</v>
      </c>
      <c r="Z206" t="str">
        <f>IF(TRIM(sales_dataset[[#This Row],[UnitPrice]])="",Y208,PROPER(TRIM(sales_dataset[[#This Row],[UnitPrice]])))</f>
        <v>-100</v>
      </c>
      <c r="AC206" s="1">
        <f>IF(TRIM(sales_dataset[[#This Row],[TotalRevenue]])="",AB208,PROPER(TRIM(sales_dataset[[#This Row],[TotalRevenue]])))</f>
        <v>500</v>
      </c>
      <c r="AD206" s="1">
        <f>ABS(sales_dataset[[#This Row],[Column5]])</f>
        <v>500</v>
      </c>
      <c r="AE206" s="1">
        <f>sales_dataset[[#This Row],[Column17]]*sales_dataset[[#This Row],[Column16]]</f>
        <v>0</v>
      </c>
    </row>
    <row r="207" spans="3:31" x14ac:dyDescent="0.3">
      <c r="C207" s="1" t="s">
        <v>25</v>
      </c>
      <c r="F207" s="1" t="s">
        <v>18</v>
      </c>
      <c r="H207" s="1" t="s">
        <v>79</v>
      </c>
      <c r="J207" s="1" t="s">
        <v>19</v>
      </c>
      <c r="K207" s="1" t="str">
        <f>IF(TRIM(sales_dataset[[#This Row],[Region]])="", J209, PROPER(TRIM(sales_dataset[[#This Row],[Region]])))</f>
        <v/>
      </c>
      <c r="N207" s="1" t="s">
        <v>56</v>
      </c>
      <c r="Q207" s="1" t="s">
        <v>41</v>
      </c>
      <c r="R207" s="1" t="str">
        <f>IF(TRIM(sales_dataset[[#This Row],[ProductCategory]])="", R225, PROPER(TRIM(sales_dataset[[#This Row],[ProductCategory]])))</f>
        <v>Home</v>
      </c>
      <c r="T207" s="1" t="s">
        <v>87</v>
      </c>
      <c r="V207">
        <v>1</v>
      </c>
      <c r="W207" t="str">
        <f>IF(TRIM(sales_dataset[[#This Row],[Quantity]])="",V213,PROPER(TRIM(sales_dataset[[#This Row],[Quantity]])))</f>
        <v>1</v>
      </c>
      <c r="Y207">
        <v>500</v>
      </c>
      <c r="Z207" t="str">
        <f>IF(TRIM(sales_dataset[[#This Row],[UnitPrice]])="",Y209,PROPER(TRIM(sales_dataset[[#This Row],[UnitPrice]])))</f>
        <v>500</v>
      </c>
      <c r="AB207">
        <v>500</v>
      </c>
      <c r="AC207" s="1" t="str">
        <f>IF(TRIM(sales_dataset[[#This Row],[TotalRevenue]])="",AB209,PROPER(TRIM(sales_dataset[[#This Row],[TotalRevenue]])))</f>
        <v>500</v>
      </c>
      <c r="AD207" s="1">
        <f>ABS(sales_dataset[[#This Row],[Column5]])</f>
        <v>500</v>
      </c>
      <c r="AE207" s="1">
        <f>sales_dataset[[#This Row],[Column17]]*sales_dataset[[#This Row],[Column16]]</f>
        <v>0</v>
      </c>
    </row>
    <row r="208" spans="3:31" x14ac:dyDescent="0.3">
      <c r="C208" s="1" t="s">
        <v>35</v>
      </c>
      <c r="F208" s="1" t="s">
        <v>72</v>
      </c>
      <c r="H208" s="1" t="s">
        <v>45</v>
      </c>
      <c r="J208" s="1" t="s">
        <v>66</v>
      </c>
      <c r="K208" s="1" t="str">
        <f>IF(TRIM(sales_dataset[[#This Row],[Region]])="", J210, PROPER(TRIM(sales_dataset[[#This Row],[Region]])))</f>
        <v>West</v>
      </c>
      <c r="N208" s="1" t="s">
        <v>19</v>
      </c>
      <c r="Q208" s="1" t="s">
        <v>82</v>
      </c>
      <c r="R208" s="1" t="str">
        <f>IF(TRIM(sales_dataset[[#This Row],[ProductCategory]])="", R226, PROPER(TRIM(sales_dataset[[#This Row],[ProductCategory]])))</f>
        <v>Electronics</v>
      </c>
      <c r="T208" s="1" t="s">
        <v>76</v>
      </c>
      <c r="V208">
        <v>1</v>
      </c>
      <c r="W208" t="str">
        <f>IF(TRIM(sales_dataset[[#This Row],[Quantity]])="",V214,PROPER(TRIM(sales_dataset[[#This Row],[Quantity]])))</f>
        <v>1</v>
      </c>
      <c r="Y208">
        <v>500</v>
      </c>
      <c r="Z208" t="str">
        <f>IF(TRIM(sales_dataset[[#This Row],[UnitPrice]])="",Y210,PROPER(TRIM(sales_dataset[[#This Row],[UnitPrice]])))</f>
        <v>500</v>
      </c>
      <c r="AB208">
        <v>500</v>
      </c>
      <c r="AC208" s="1" t="str">
        <f>IF(TRIM(sales_dataset[[#This Row],[TotalRevenue]])="",AB210,PROPER(TRIM(sales_dataset[[#This Row],[TotalRevenue]])))</f>
        <v>500</v>
      </c>
      <c r="AD208" s="1">
        <f>ABS(sales_dataset[[#This Row],[Column5]])</f>
        <v>500</v>
      </c>
      <c r="AE208" s="1">
        <f>sales_dataset[[#This Row],[Column17]]*sales_dataset[[#This Row],[Column16]]</f>
        <v>0</v>
      </c>
    </row>
    <row r="209" spans="3:31" x14ac:dyDescent="0.3">
      <c r="C209" s="1" t="s">
        <v>43</v>
      </c>
      <c r="F209" s="1" t="s">
        <v>53</v>
      </c>
      <c r="H209" s="1" t="s">
        <v>28</v>
      </c>
      <c r="J209" s="1" t="s">
        <v>19</v>
      </c>
      <c r="K209" s="1" t="str">
        <f>IF(TRIM(sales_dataset[[#This Row],[Region]])="", J211, PROPER(TRIM(sales_dataset[[#This Row],[Region]])))</f>
        <v/>
      </c>
      <c r="N209" s="1" t="s">
        <v>19</v>
      </c>
      <c r="Q209" s="1" t="s">
        <v>82</v>
      </c>
      <c r="R209" s="1" t="str">
        <f>IF(TRIM(sales_dataset[[#This Row],[ProductCategory]])="", R227, PROPER(TRIM(sales_dataset[[#This Row],[ProductCategory]])))</f>
        <v>Electronics</v>
      </c>
      <c r="T209" s="1" t="s">
        <v>95</v>
      </c>
      <c r="V209">
        <v>-1</v>
      </c>
      <c r="W209" t="str">
        <f>IF(TRIM(sales_dataset[[#This Row],[Quantity]])="",V215,PROPER(TRIM(sales_dataset[[#This Row],[Quantity]])))</f>
        <v>-1</v>
      </c>
      <c r="Y209">
        <v>-100</v>
      </c>
      <c r="Z209" t="str">
        <f>IF(TRIM(sales_dataset[[#This Row],[UnitPrice]])="",Y211,PROPER(TRIM(sales_dataset[[#This Row],[UnitPrice]])))</f>
        <v>-100</v>
      </c>
      <c r="AB209">
        <v>100</v>
      </c>
      <c r="AC209" s="1" t="str">
        <f>IF(TRIM(sales_dataset[[#This Row],[TotalRevenue]])="",AB211,PROPER(TRIM(sales_dataset[[#This Row],[TotalRevenue]])))</f>
        <v>100</v>
      </c>
      <c r="AD209" s="1">
        <f>ABS(sales_dataset[[#This Row],[Column5]])</f>
        <v>100</v>
      </c>
      <c r="AE209" s="1">
        <f>sales_dataset[[#This Row],[Column17]]*sales_dataset[[#This Row],[Column16]]</f>
        <v>0</v>
      </c>
    </row>
    <row r="210" spans="3:31" x14ac:dyDescent="0.3">
      <c r="C210" s="1" t="s">
        <v>51</v>
      </c>
      <c r="F210" s="1" t="s">
        <v>60</v>
      </c>
      <c r="H210" s="1" t="s">
        <v>147</v>
      </c>
      <c r="J210" s="1" t="s">
        <v>66</v>
      </c>
      <c r="K210" s="1" t="str">
        <f>IF(TRIM(sales_dataset[[#This Row],[Region]])="", J212, PROPER(TRIM(sales_dataset[[#This Row],[Region]])))</f>
        <v>West</v>
      </c>
      <c r="N210" s="1" t="s">
        <v>19</v>
      </c>
      <c r="Q210" s="1" t="s">
        <v>63</v>
      </c>
      <c r="R210" s="1" t="str">
        <f>IF(TRIM(sales_dataset[[#This Row],[ProductCategory]])="", R228, PROPER(TRIM(sales_dataset[[#This Row],[ProductCategory]])))</f>
        <v>Clothing</v>
      </c>
      <c r="T210" s="1" t="s">
        <v>95</v>
      </c>
      <c r="V210">
        <v>5</v>
      </c>
      <c r="W210" t="str">
        <f>IF(TRIM(sales_dataset[[#This Row],[Quantity]])="",V216,PROPER(TRIM(sales_dataset[[#This Row],[Quantity]])))</f>
        <v>5</v>
      </c>
      <c r="Y210">
        <v>2000</v>
      </c>
      <c r="Z210" t="str">
        <f>IF(TRIM(sales_dataset[[#This Row],[UnitPrice]])="",Y212,PROPER(TRIM(sales_dataset[[#This Row],[UnitPrice]])))</f>
        <v>2000</v>
      </c>
      <c r="AB210">
        <v>10000</v>
      </c>
      <c r="AC210" s="1" t="str">
        <f>IF(TRIM(sales_dataset[[#This Row],[TotalRevenue]])="",AB212,PROPER(TRIM(sales_dataset[[#This Row],[TotalRevenue]])))</f>
        <v>10000</v>
      </c>
      <c r="AD210" s="1">
        <f>ABS(sales_dataset[[#This Row],[Column5]])</f>
        <v>10000</v>
      </c>
      <c r="AE210" s="1">
        <f>sales_dataset[[#This Row],[Column17]]*sales_dataset[[#This Row],[Column16]]</f>
        <v>0</v>
      </c>
    </row>
    <row r="211" spans="3:31" x14ac:dyDescent="0.3">
      <c r="C211" s="1" t="s">
        <v>19</v>
      </c>
      <c r="F211" s="1" t="s">
        <v>27</v>
      </c>
      <c r="H211" s="1" t="s">
        <v>147</v>
      </c>
      <c r="J211" s="1" t="s">
        <v>19</v>
      </c>
      <c r="K211" s="1" t="str">
        <f>IF(TRIM(sales_dataset[[#This Row],[Region]])="", J213, PROPER(TRIM(sales_dataset[[#This Row],[Region]])))</f>
        <v>South</v>
      </c>
      <c r="N211" s="1" t="s">
        <v>56</v>
      </c>
      <c r="Q211" s="1" t="s">
        <v>19</v>
      </c>
      <c r="R211" s="1" t="str">
        <f>IF(TRIM(sales_dataset[[#This Row],[ProductCategory]])="", R229, PROPER(TRIM(sales_dataset[[#This Row],[ProductCategory]])))</f>
        <v>Home</v>
      </c>
      <c r="T211" s="1" t="s">
        <v>76</v>
      </c>
      <c r="W211">
        <f>IF(TRIM(sales_dataset[[#This Row],[Quantity]])="",V217,PROPER(TRIM(sales_dataset[[#This Row],[Quantity]])))</f>
        <v>1</v>
      </c>
      <c r="Y211">
        <v>2500</v>
      </c>
      <c r="Z211" t="str">
        <f>IF(TRIM(sales_dataset[[#This Row],[UnitPrice]])="",Y213,PROPER(TRIM(sales_dataset[[#This Row],[UnitPrice]])))</f>
        <v>2500</v>
      </c>
      <c r="AC211" s="1">
        <f>IF(TRIM(sales_dataset[[#This Row],[TotalRevenue]])="",AB213,PROPER(TRIM(sales_dataset[[#This Row],[TotalRevenue]])))</f>
        <v>-200</v>
      </c>
      <c r="AD211" s="1">
        <f>ABS(sales_dataset[[#This Row],[Column5]])</f>
        <v>200</v>
      </c>
      <c r="AE211" s="1">
        <f>sales_dataset[[#This Row],[Column17]]*sales_dataset[[#This Row],[Column16]]</f>
        <v>0</v>
      </c>
    </row>
    <row r="212" spans="3:31" x14ac:dyDescent="0.3">
      <c r="C212" s="1" t="s">
        <v>16</v>
      </c>
      <c r="F212" s="1" t="s">
        <v>60</v>
      </c>
      <c r="H212" s="1" t="s">
        <v>147</v>
      </c>
      <c r="J212" s="1" t="s">
        <v>98</v>
      </c>
      <c r="K212" s="1" t="str">
        <f>IF(TRIM(sales_dataset[[#This Row],[Region]])="", J214, PROPER(TRIM(sales_dataset[[#This Row],[Region]])))</f>
        <v>South</v>
      </c>
      <c r="N212" s="1" t="s">
        <v>56</v>
      </c>
      <c r="Q212" s="1" t="s">
        <v>32</v>
      </c>
      <c r="R212" s="1" t="str">
        <f>IF(TRIM(sales_dataset[[#This Row],[ProductCategory]])="", R230, PROPER(TRIM(sales_dataset[[#This Row],[ProductCategory]])))</f>
        <v>Electronics</v>
      </c>
      <c r="T212" s="1" t="s">
        <v>23</v>
      </c>
      <c r="V212">
        <v>4</v>
      </c>
      <c r="W212" t="str">
        <f>IF(TRIM(sales_dataset[[#This Row],[Quantity]])="",V218,PROPER(TRIM(sales_dataset[[#This Row],[Quantity]])))</f>
        <v>4</v>
      </c>
      <c r="Y212">
        <v>1500</v>
      </c>
      <c r="Z212" t="str">
        <f>IF(TRIM(sales_dataset[[#This Row],[UnitPrice]])="",Y214,PROPER(TRIM(sales_dataset[[#This Row],[UnitPrice]])))</f>
        <v>1500</v>
      </c>
      <c r="AB212">
        <v>6000</v>
      </c>
      <c r="AC212" s="1" t="str">
        <f>IF(TRIM(sales_dataset[[#This Row],[TotalRevenue]])="",AB214,PROPER(TRIM(sales_dataset[[#This Row],[TotalRevenue]])))</f>
        <v>6000</v>
      </c>
      <c r="AD212" s="1">
        <f>ABS(sales_dataset[[#This Row],[Column5]])</f>
        <v>6000</v>
      </c>
      <c r="AE212" s="1">
        <f>sales_dataset[[#This Row],[Column17]]*sales_dataset[[#This Row],[Column16]]</f>
        <v>0</v>
      </c>
    </row>
    <row r="213" spans="3:31" x14ac:dyDescent="0.3">
      <c r="C213" s="1" t="s">
        <v>25</v>
      </c>
      <c r="F213" s="1" t="s">
        <v>19</v>
      </c>
      <c r="H213" s="1" t="s">
        <v>54</v>
      </c>
      <c r="J213" s="1" t="s">
        <v>98</v>
      </c>
      <c r="K213" s="1" t="str">
        <f>IF(TRIM(sales_dataset[[#This Row],[Region]])="", J215, PROPER(TRIM(sales_dataset[[#This Row],[Region]])))</f>
        <v>South</v>
      </c>
      <c r="N213" s="1" t="s">
        <v>39</v>
      </c>
      <c r="Q213" s="1" t="s">
        <v>41</v>
      </c>
      <c r="R213" s="1" t="str">
        <f>IF(TRIM(sales_dataset[[#This Row],[ProductCategory]])="", R231, PROPER(TRIM(sales_dataset[[#This Row],[ProductCategory]])))</f>
        <v>Home</v>
      </c>
      <c r="T213" s="1" t="s">
        <v>69</v>
      </c>
      <c r="V213">
        <v>2</v>
      </c>
      <c r="W213" t="str">
        <f>IF(TRIM(sales_dataset[[#This Row],[Quantity]])="",V219,PROPER(TRIM(sales_dataset[[#This Row],[Quantity]])))</f>
        <v>2</v>
      </c>
      <c r="Y213">
        <v>-100</v>
      </c>
      <c r="Z213" t="str">
        <f>IF(TRIM(sales_dataset[[#This Row],[UnitPrice]])="",Y215,PROPER(TRIM(sales_dataset[[#This Row],[UnitPrice]])))</f>
        <v>-100</v>
      </c>
      <c r="AB213">
        <v>-200</v>
      </c>
      <c r="AC213" s="1" t="str">
        <f>IF(TRIM(sales_dataset[[#This Row],[TotalRevenue]])="",AB215,PROPER(TRIM(sales_dataset[[#This Row],[TotalRevenue]])))</f>
        <v>-200</v>
      </c>
      <c r="AD213" s="1">
        <f>ABS(sales_dataset[[#This Row],[Column5]])</f>
        <v>200</v>
      </c>
      <c r="AE213" s="1">
        <f>sales_dataset[[#This Row],[Column17]]*sales_dataset[[#This Row],[Column16]]</f>
        <v>0</v>
      </c>
    </row>
    <row r="214" spans="3:31" x14ac:dyDescent="0.3">
      <c r="C214" s="1" t="s">
        <v>35</v>
      </c>
      <c r="F214" s="1" t="s">
        <v>53</v>
      </c>
      <c r="H214" s="1" t="s">
        <v>28</v>
      </c>
      <c r="J214" s="1" t="s">
        <v>46</v>
      </c>
      <c r="K214" s="1" t="str">
        <f>IF(TRIM(sales_dataset[[#This Row],[Region]])="", J216, PROPER(TRIM(sales_dataset[[#This Row],[Region]])))</f>
        <v>North</v>
      </c>
      <c r="N214" s="1" t="s">
        <v>19</v>
      </c>
      <c r="Q214" s="1" t="s">
        <v>32</v>
      </c>
      <c r="R214" s="1" t="str">
        <f>IF(TRIM(sales_dataset[[#This Row],[ProductCategory]])="", R232, PROPER(TRIM(sales_dataset[[#This Row],[ProductCategory]])))</f>
        <v>Electronics</v>
      </c>
      <c r="T214" s="1" t="s">
        <v>33</v>
      </c>
      <c r="V214">
        <v>1</v>
      </c>
      <c r="W214" t="str">
        <f>IF(TRIM(sales_dataset[[#This Row],[Quantity]])="",V220,PROPER(TRIM(sales_dataset[[#This Row],[Quantity]])))</f>
        <v>1</v>
      </c>
      <c r="Z214">
        <f>IF(TRIM(sales_dataset[[#This Row],[UnitPrice]])="",Y216,PROPER(TRIM(sales_dataset[[#This Row],[UnitPrice]])))</f>
        <v>1500</v>
      </c>
      <c r="AC214" s="1">
        <f>IF(TRIM(sales_dataset[[#This Row],[TotalRevenue]])="",AB216,PROPER(TRIM(sales_dataset[[#This Row],[TotalRevenue]])))</f>
        <v>7500</v>
      </c>
      <c r="AD214" s="1">
        <f>ABS(sales_dataset[[#This Row],[Column5]])</f>
        <v>7500</v>
      </c>
      <c r="AE214" s="1">
        <f>sales_dataset[[#This Row],[Column17]]*sales_dataset[[#This Row],[Column16]]</f>
        <v>0</v>
      </c>
    </row>
    <row r="215" spans="3:31" x14ac:dyDescent="0.3">
      <c r="C215" s="1" t="s">
        <v>43</v>
      </c>
      <c r="F215" s="1" t="s">
        <v>53</v>
      </c>
      <c r="H215" s="1" t="s">
        <v>54</v>
      </c>
      <c r="J215" s="1" t="s">
        <v>19</v>
      </c>
      <c r="K215" s="1" t="str">
        <f>IF(TRIM(sales_dataset[[#This Row],[Region]])="", J217, PROPER(TRIM(sales_dataset[[#This Row],[Region]])))</f>
        <v>North</v>
      </c>
      <c r="N215" s="1" t="s">
        <v>21</v>
      </c>
      <c r="Q215" s="1" t="s">
        <v>82</v>
      </c>
      <c r="R215" s="1" t="str">
        <f>IF(TRIM(sales_dataset[[#This Row],[ProductCategory]])="", R233, PROPER(TRIM(sales_dataset[[#This Row],[ProductCategory]])))</f>
        <v>Electronics</v>
      </c>
      <c r="T215" s="1" t="s">
        <v>76</v>
      </c>
      <c r="V215">
        <v>-1</v>
      </c>
      <c r="W215" t="str">
        <f>IF(TRIM(sales_dataset[[#This Row],[Quantity]])="",V221,PROPER(TRIM(sales_dataset[[#This Row],[Quantity]])))</f>
        <v>-1</v>
      </c>
      <c r="Z215">
        <f>IF(TRIM(sales_dataset[[#This Row],[UnitPrice]])="",Y217,PROPER(TRIM(sales_dataset[[#This Row],[UnitPrice]])))</f>
        <v>500</v>
      </c>
      <c r="AC215" s="1">
        <f>IF(TRIM(sales_dataset[[#This Row],[TotalRevenue]])="",AB217,PROPER(TRIM(sales_dataset[[#This Row],[TotalRevenue]])))</f>
        <v>500</v>
      </c>
      <c r="AD215" s="1">
        <f>ABS(sales_dataset[[#This Row],[Column5]])</f>
        <v>500</v>
      </c>
      <c r="AE215" s="1">
        <f>sales_dataset[[#This Row],[Column17]]*sales_dataset[[#This Row],[Column16]]</f>
        <v>0</v>
      </c>
    </row>
    <row r="216" spans="3:31" x14ac:dyDescent="0.3">
      <c r="C216" s="1" t="s">
        <v>51</v>
      </c>
      <c r="F216" s="1" t="s">
        <v>19</v>
      </c>
      <c r="H216" s="1" t="s">
        <v>54</v>
      </c>
      <c r="J216" s="1" t="s">
        <v>66</v>
      </c>
      <c r="K216" s="1" t="str">
        <f>IF(TRIM(sales_dataset[[#This Row],[Region]])="", J218, PROPER(TRIM(sales_dataset[[#This Row],[Region]])))</f>
        <v>West</v>
      </c>
      <c r="N216" s="1" t="s">
        <v>39</v>
      </c>
      <c r="Q216" s="1" t="s">
        <v>19</v>
      </c>
      <c r="R216" s="1" t="str">
        <f>IF(TRIM(sales_dataset[[#This Row],[ProductCategory]])="", R234, PROPER(TRIM(sales_dataset[[#This Row],[ProductCategory]])))</f>
        <v>Electronics</v>
      </c>
      <c r="T216" s="1" t="s">
        <v>69</v>
      </c>
      <c r="V216">
        <v>5</v>
      </c>
      <c r="W216" t="str">
        <f>IF(TRIM(sales_dataset[[#This Row],[Quantity]])="",V222,PROPER(TRIM(sales_dataset[[#This Row],[Quantity]])))</f>
        <v>5</v>
      </c>
      <c r="Y216">
        <v>1500</v>
      </c>
      <c r="Z216" t="str">
        <f>IF(TRIM(sales_dataset[[#This Row],[UnitPrice]])="",Y218,PROPER(TRIM(sales_dataset[[#This Row],[UnitPrice]])))</f>
        <v>1500</v>
      </c>
      <c r="AB216">
        <v>7500</v>
      </c>
      <c r="AC216" s="1" t="str">
        <f>IF(TRIM(sales_dataset[[#This Row],[TotalRevenue]])="",AB218,PROPER(TRIM(sales_dataset[[#This Row],[TotalRevenue]])))</f>
        <v>7500</v>
      </c>
      <c r="AD216" s="1">
        <f>ABS(sales_dataset[[#This Row],[Column5]])</f>
        <v>7500</v>
      </c>
      <c r="AE216" s="1">
        <f>sales_dataset[[#This Row],[Column17]]*sales_dataset[[#This Row],[Column16]]</f>
        <v>0</v>
      </c>
    </row>
    <row r="217" spans="3:31" x14ac:dyDescent="0.3">
      <c r="C217" s="1" t="s">
        <v>19</v>
      </c>
      <c r="F217" s="1" t="s">
        <v>60</v>
      </c>
      <c r="H217" s="1" t="s">
        <v>79</v>
      </c>
      <c r="J217" s="1" t="s">
        <v>46</v>
      </c>
      <c r="K217" s="1" t="str">
        <f>IF(TRIM(sales_dataset[[#This Row],[Region]])="", J219, PROPER(TRIM(sales_dataset[[#This Row],[Region]])))</f>
        <v>North</v>
      </c>
      <c r="N217" s="1" t="s">
        <v>39</v>
      </c>
      <c r="Q217" s="1" t="s">
        <v>82</v>
      </c>
      <c r="R217" s="1" t="str">
        <f>IF(TRIM(sales_dataset[[#This Row],[ProductCategory]])="", R235, PROPER(TRIM(sales_dataset[[#This Row],[ProductCategory]])))</f>
        <v>Electronics</v>
      </c>
      <c r="T217" s="1" t="s">
        <v>95</v>
      </c>
      <c r="V217">
        <v>1</v>
      </c>
      <c r="W217" t="str">
        <f>IF(TRIM(sales_dataset[[#This Row],[Quantity]])="",V223,PROPER(TRIM(sales_dataset[[#This Row],[Quantity]])))</f>
        <v>1</v>
      </c>
      <c r="Y217">
        <v>500</v>
      </c>
      <c r="Z217" t="str">
        <f>IF(TRIM(sales_dataset[[#This Row],[UnitPrice]])="",Y219,PROPER(TRIM(sales_dataset[[#This Row],[UnitPrice]])))</f>
        <v>500</v>
      </c>
      <c r="AB217">
        <v>500</v>
      </c>
      <c r="AC217" s="1" t="str">
        <f>IF(TRIM(sales_dataset[[#This Row],[TotalRevenue]])="",AB219,PROPER(TRIM(sales_dataset[[#This Row],[TotalRevenue]])))</f>
        <v>500</v>
      </c>
      <c r="AD217" s="1">
        <f>ABS(sales_dataset[[#This Row],[Column5]])</f>
        <v>500</v>
      </c>
      <c r="AE217" s="1">
        <f>sales_dataset[[#This Row],[Column17]]*sales_dataset[[#This Row],[Column16]]</f>
        <v>0</v>
      </c>
    </row>
    <row r="218" spans="3:31" x14ac:dyDescent="0.3">
      <c r="C218" s="1" t="s">
        <v>16</v>
      </c>
      <c r="F218" s="1" t="s">
        <v>27</v>
      </c>
      <c r="H218" s="1" t="s">
        <v>54</v>
      </c>
      <c r="J218" s="1" t="s">
        <v>80</v>
      </c>
      <c r="K218" s="1" t="str">
        <f>IF(TRIM(sales_dataset[[#This Row],[Region]])="", J220, PROPER(TRIM(sales_dataset[[#This Row],[Region]])))</f>
        <v>East</v>
      </c>
      <c r="N218" s="1" t="s">
        <v>19</v>
      </c>
      <c r="Q218" s="1" t="s">
        <v>19</v>
      </c>
      <c r="R218" s="1" t="str">
        <f>IF(TRIM(sales_dataset[[#This Row],[ProductCategory]])="", R236, PROPER(TRIM(sales_dataset[[#This Row],[ProductCategory]])))</f>
        <v>Clothing</v>
      </c>
      <c r="T218" s="1" t="s">
        <v>95</v>
      </c>
      <c r="W218">
        <f>IF(TRIM(sales_dataset[[#This Row],[Quantity]])="",V224,PROPER(TRIM(sales_dataset[[#This Row],[Quantity]])))</f>
        <v>4</v>
      </c>
      <c r="Y218">
        <v>-100</v>
      </c>
      <c r="Z218" t="str">
        <f>IF(TRIM(sales_dataset[[#This Row],[UnitPrice]])="",Y220,PROPER(TRIM(sales_dataset[[#This Row],[UnitPrice]])))</f>
        <v>-100</v>
      </c>
      <c r="AC218" s="1">
        <f>IF(TRIM(sales_dataset[[#This Row],[TotalRevenue]])="",AB220,PROPER(TRIM(sales_dataset[[#This Row],[TotalRevenue]])))</f>
        <v>2500</v>
      </c>
      <c r="AD218" s="1">
        <f>ABS(sales_dataset[[#This Row],[Column5]])</f>
        <v>2500</v>
      </c>
      <c r="AE218" s="1">
        <f>sales_dataset[[#This Row],[Column17]]*sales_dataset[[#This Row],[Column16]]</f>
        <v>0</v>
      </c>
    </row>
    <row r="219" spans="3:31" x14ac:dyDescent="0.3">
      <c r="C219" s="1" t="s">
        <v>25</v>
      </c>
      <c r="F219" s="1" t="s">
        <v>72</v>
      </c>
      <c r="H219" s="1" t="s">
        <v>19</v>
      </c>
      <c r="J219" s="1" t="s">
        <v>98</v>
      </c>
      <c r="K219" s="1" t="str">
        <f>IF(TRIM(sales_dataset[[#This Row],[Region]])="", J221, PROPER(TRIM(sales_dataset[[#This Row],[Region]])))</f>
        <v>South</v>
      </c>
      <c r="N219" s="1" t="s">
        <v>48</v>
      </c>
      <c r="Q219" s="1" t="s">
        <v>63</v>
      </c>
      <c r="R219" s="1" t="str">
        <f>IF(TRIM(sales_dataset[[#This Row],[ProductCategory]])="", R237, PROPER(TRIM(sales_dataset[[#This Row],[ProductCategory]])))</f>
        <v>Clothing</v>
      </c>
      <c r="T219" s="1" t="s">
        <v>87</v>
      </c>
      <c r="W219">
        <f>IF(TRIM(sales_dataset[[#This Row],[Quantity]])="",V225,PROPER(TRIM(sales_dataset[[#This Row],[Quantity]])))</f>
        <v>3</v>
      </c>
      <c r="Y219">
        <v>2000</v>
      </c>
      <c r="Z219" t="str">
        <f>IF(TRIM(sales_dataset[[#This Row],[UnitPrice]])="",Y221,PROPER(TRIM(sales_dataset[[#This Row],[UnitPrice]])))</f>
        <v>2000</v>
      </c>
      <c r="AC219" s="1">
        <f>IF(TRIM(sales_dataset[[#This Row],[TotalRevenue]])="",AB221,PROPER(TRIM(sales_dataset[[#This Row],[TotalRevenue]])))</f>
        <v>1500</v>
      </c>
      <c r="AD219" s="1">
        <f>ABS(sales_dataset[[#This Row],[Column5]])</f>
        <v>1500</v>
      </c>
      <c r="AE219" s="1">
        <f>sales_dataset[[#This Row],[Column17]]*sales_dataset[[#This Row],[Column16]]</f>
        <v>0</v>
      </c>
    </row>
    <row r="220" spans="3:31" x14ac:dyDescent="0.3">
      <c r="C220" s="1" t="s">
        <v>35</v>
      </c>
      <c r="F220" s="1" t="s">
        <v>53</v>
      </c>
      <c r="H220" s="1" t="s">
        <v>45</v>
      </c>
      <c r="J220" s="1" t="s">
        <v>46</v>
      </c>
      <c r="K220" s="1" t="str">
        <f>IF(TRIM(sales_dataset[[#This Row],[Region]])="", J222, PROPER(TRIM(sales_dataset[[#This Row],[Region]])))</f>
        <v>North</v>
      </c>
      <c r="N220" s="1" t="s">
        <v>56</v>
      </c>
      <c r="Q220" s="1" t="s">
        <v>32</v>
      </c>
      <c r="R220" s="1" t="str">
        <f>IF(TRIM(sales_dataset[[#This Row],[ProductCategory]])="", R238, PROPER(TRIM(sales_dataset[[#This Row],[ProductCategory]])))</f>
        <v>Electronics</v>
      </c>
      <c r="T220" s="1" t="s">
        <v>87</v>
      </c>
      <c r="V220">
        <v>1</v>
      </c>
      <c r="W220" t="str">
        <f>IF(TRIM(sales_dataset[[#This Row],[Quantity]])="",V226,PROPER(TRIM(sales_dataset[[#This Row],[Quantity]])))</f>
        <v>1</v>
      </c>
      <c r="Y220">
        <v>2500</v>
      </c>
      <c r="Z220" t="str">
        <f>IF(TRIM(sales_dataset[[#This Row],[UnitPrice]])="",Y222,PROPER(TRIM(sales_dataset[[#This Row],[UnitPrice]])))</f>
        <v>2500</v>
      </c>
      <c r="AB220">
        <v>2500</v>
      </c>
      <c r="AC220" s="1" t="str">
        <f>IF(TRIM(sales_dataset[[#This Row],[TotalRevenue]])="",AB222,PROPER(TRIM(sales_dataset[[#This Row],[TotalRevenue]])))</f>
        <v>2500</v>
      </c>
      <c r="AD220" s="1">
        <f>ABS(sales_dataset[[#This Row],[Column5]])</f>
        <v>2500</v>
      </c>
      <c r="AE220" s="1">
        <f>sales_dataset[[#This Row],[Column17]]*sales_dataset[[#This Row],[Column16]]</f>
        <v>0</v>
      </c>
    </row>
    <row r="221" spans="3:31" x14ac:dyDescent="0.3">
      <c r="C221" s="1" t="s">
        <v>43</v>
      </c>
      <c r="F221" s="1" t="s">
        <v>18</v>
      </c>
      <c r="H221" s="1" t="s">
        <v>45</v>
      </c>
      <c r="J221" s="1" t="s">
        <v>98</v>
      </c>
      <c r="K221" s="1" t="str">
        <f>IF(TRIM(sales_dataset[[#This Row],[Region]])="", J223, PROPER(TRIM(sales_dataset[[#This Row],[Region]])))</f>
        <v>South</v>
      </c>
      <c r="N221" s="1" t="s">
        <v>39</v>
      </c>
      <c r="Q221" s="1" t="s">
        <v>82</v>
      </c>
      <c r="R221" s="1" t="str">
        <f>IF(TRIM(sales_dataset[[#This Row],[ProductCategory]])="", R239, PROPER(TRIM(sales_dataset[[#This Row],[ProductCategory]])))</f>
        <v>Electronics</v>
      </c>
      <c r="T221" s="1" t="s">
        <v>76</v>
      </c>
      <c r="V221">
        <v>3</v>
      </c>
      <c r="W221" t="str">
        <f>IF(TRIM(sales_dataset[[#This Row],[Quantity]])="",V227,PROPER(TRIM(sales_dataset[[#This Row],[Quantity]])))</f>
        <v>3</v>
      </c>
      <c r="Y221">
        <v>500</v>
      </c>
      <c r="Z221" t="str">
        <f>IF(TRIM(sales_dataset[[#This Row],[UnitPrice]])="",Y223,PROPER(TRIM(sales_dataset[[#This Row],[UnitPrice]])))</f>
        <v>500</v>
      </c>
      <c r="AB221">
        <v>1500</v>
      </c>
      <c r="AC221" s="1" t="str">
        <f>IF(TRIM(sales_dataset[[#This Row],[TotalRevenue]])="",AB223,PROPER(TRIM(sales_dataset[[#This Row],[TotalRevenue]])))</f>
        <v>1500</v>
      </c>
      <c r="AD221" s="1">
        <f>ABS(sales_dataset[[#This Row],[Column5]])</f>
        <v>1500</v>
      </c>
      <c r="AE221" s="1">
        <f>sales_dataset[[#This Row],[Column17]]*sales_dataset[[#This Row],[Column16]]</f>
        <v>0</v>
      </c>
    </row>
    <row r="222" spans="3:31" x14ac:dyDescent="0.3">
      <c r="C222" s="1" t="s">
        <v>51</v>
      </c>
      <c r="F222" s="1" t="s">
        <v>60</v>
      </c>
      <c r="H222" s="1" t="s">
        <v>73</v>
      </c>
      <c r="J222" s="1" t="s">
        <v>46</v>
      </c>
      <c r="K222" s="1" t="str">
        <f>IF(TRIM(sales_dataset[[#This Row],[Region]])="", J224, PROPER(TRIM(sales_dataset[[#This Row],[Region]])))</f>
        <v>North</v>
      </c>
      <c r="N222" s="1" t="s">
        <v>48</v>
      </c>
      <c r="Q222" s="1" t="s">
        <v>19</v>
      </c>
      <c r="R222" s="1" t="str">
        <f>IF(TRIM(sales_dataset[[#This Row],[ProductCategory]])="", R240, PROPER(TRIM(sales_dataset[[#This Row],[ProductCategory]])))</f>
        <v>Electronics</v>
      </c>
      <c r="T222" s="1" t="s">
        <v>23</v>
      </c>
      <c r="W222">
        <f>IF(TRIM(sales_dataset[[#This Row],[Quantity]])="",V228,PROPER(TRIM(sales_dataset[[#This Row],[Quantity]])))</f>
        <v>1</v>
      </c>
      <c r="Y222">
        <v>2500</v>
      </c>
      <c r="Z222" t="str">
        <f>IF(TRIM(sales_dataset[[#This Row],[UnitPrice]])="",Y224,PROPER(TRIM(sales_dataset[[#This Row],[UnitPrice]])))</f>
        <v>2500</v>
      </c>
      <c r="AC222" s="1">
        <f>IF(TRIM(sales_dataset[[#This Row],[TotalRevenue]])="",AB224,PROPER(TRIM(sales_dataset[[#This Row],[TotalRevenue]])))</f>
        <v>0</v>
      </c>
      <c r="AD222" s="1">
        <f>ABS(sales_dataset[[#This Row],[Column5]])</f>
        <v>0</v>
      </c>
      <c r="AE222" s="1">
        <f>sales_dataset[[#This Row],[Column17]]*sales_dataset[[#This Row],[Column16]]</f>
        <v>0</v>
      </c>
    </row>
    <row r="223" spans="3:31" x14ac:dyDescent="0.3">
      <c r="C223" s="1" t="s">
        <v>19</v>
      </c>
      <c r="F223" s="1" t="s">
        <v>60</v>
      </c>
      <c r="H223" s="1" t="s">
        <v>73</v>
      </c>
      <c r="J223" s="1" t="s">
        <v>80</v>
      </c>
      <c r="K223" s="1" t="str">
        <f>IF(TRIM(sales_dataset[[#This Row],[Region]])="", J225, PROPER(TRIM(sales_dataset[[#This Row],[Region]])))</f>
        <v>East</v>
      </c>
      <c r="N223" s="1" t="s">
        <v>19</v>
      </c>
      <c r="Q223" s="1" t="s">
        <v>19</v>
      </c>
      <c r="R223" s="1" t="str">
        <f>IF(TRIM(sales_dataset[[#This Row],[ProductCategory]])="", R241, PROPER(TRIM(sales_dataset[[#This Row],[ProductCategory]])))</f>
        <v>Electronics</v>
      </c>
      <c r="T223" s="1" t="s">
        <v>76</v>
      </c>
      <c r="V223">
        <v>2</v>
      </c>
      <c r="W223" t="str">
        <f>IF(TRIM(sales_dataset[[#This Row],[Quantity]])="",V229,PROPER(TRIM(sales_dataset[[#This Row],[Quantity]])))</f>
        <v>2</v>
      </c>
      <c r="Y223">
        <v>2000</v>
      </c>
      <c r="Z223" t="str">
        <f>IF(TRIM(sales_dataset[[#This Row],[UnitPrice]])="",Y225,PROPER(TRIM(sales_dataset[[#This Row],[UnitPrice]])))</f>
        <v>2000</v>
      </c>
      <c r="AB223">
        <v>4000</v>
      </c>
      <c r="AC223" s="1" t="str">
        <f>IF(TRIM(sales_dataset[[#This Row],[TotalRevenue]])="",AB225,PROPER(TRIM(sales_dataset[[#This Row],[TotalRevenue]])))</f>
        <v>4000</v>
      </c>
      <c r="AD223" s="1">
        <f>ABS(sales_dataset[[#This Row],[Column5]])</f>
        <v>4000</v>
      </c>
      <c r="AE223" s="1">
        <f>sales_dataset[[#This Row],[Column17]]*sales_dataset[[#This Row],[Column16]]</f>
        <v>0</v>
      </c>
    </row>
    <row r="224" spans="3:31" x14ac:dyDescent="0.3">
      <c r="C224" s="1" t="s">
        <v>16</v>
      </c>
      <c r="F224" s="1" t="s">
        <v>18</v>
      </c>
      <c r="H224" s="1" t="s">
        <v>28</v>
      </c>
      <c r="J224" s="1" t="s">
        <v>80</v>
      </c>
      <c r="K224" s="1" t="str">
        <f>IF(TRIM(sales_dataset[[#This Row],[Region]])="", J226, PROPER(TRIM(sales_dataset[[#This Row],[Region]])))</f>
        <v>East</v>
      </c>
      <c r="N224" s="1" t="s">
        <v>30</v>
      </c>
      <c r="Q224" s="1" t="s">
        <v>82</v>
      </c>
      <c r="R224" s="1" t="str">
        <f>IF(TRIM(sales_dataset[[#This Row],[ProductCategory]])="", R242, PROPER(TRIM(sales_dataset[[#This Row],[ProductCategory]])))</f>
        <v>Electronics</v>
      </c>
      <c r="T224" s="1" t="s">
        <v>33</v>
      </c>
      <c r="V224">
        <v>4</v>
      </c>
      <c r="W224" t="str">
        <f>IF(TRIM(sales_dataset[[#This Row],[Quantity]])="",V230,PROPER(TRIM(sales_dataset[[#This Row],[Quantity]])))</f>
        <v>4</v>
      </c>
      <c r="Z224">
        <f>IF(TRIM(sales_dataset[[#This Row],[UnitPrice]])="",Y226,PROPER(TRIM(sales_dataset[[#This Row],[UnitPrice]])))</f>
        <v>2000</v>
      </c>
      <c r="AC224" s="1">
        <f>IF(TRIM(sales_dataset[[#This Row],[TotalRevenue]])="",AB226,PROPER(TRIM(sales_dataset[[#This Row],[TotalRevenue]])))</f>
        <v>6000</v>
      </c>
      <c r="AD224" s="1">
        <f>ABS(sales_dataset[[#This Row],[Column5]])</f>
        <v>6000</v>
      </c>
      <c r="AE224" s="1">
        <f>sales_dataset[[#This Row],[Column17]]*sales_dataset[[#This Row],[Column16]]</f>
        <v>0</v>
      </c>
    </row>
    <row r="225" spans="3:31" x14ac:dyDescent="0.3">
      <c r="C225" s="1" t="s">
        <v>25</v>
      </c>
      <c r="F225" s="1" t="s">
        <v>19</v>
      </c>
      <c r="H225" s="1" t="s">
        <v>28</v>
      </c>
      <c r="J225" s="1" t="s">
        <v>37</v>
      </c>
      <c r="K225" s="1" t="str">
        <f>IF(TRIM(sales_dataset[[#This Row],[Region]])="", J227, PROPER(TRIM(sales_dataset[[#This Row],[Region]])))</f>
        <v>North</v>
      </c>
      <c r="N225" s="1" t="s">
        <v>48</v>
      </c>
      <c r="Q225" s="1" t="s">
        <v>32</v>
      </c>
      <c r="R225" s="1" t="str">
        <f>IF(TRIM(sales_dataset[[#This Row],[ProductCategory]])="", R243, PROPER(TRIM(sales_dataset[[#This Row],[ProductCategory]])))</f>
        <v>Electronics</v>
      </c>
      <c r="T225" s="1" t="s">
        <v>87</v>
      </c>
      <c r="V225">
        <v>3</v>
      </c>
      <c r="W225" t="str">
        <f>IF(TRIM(sales_dataset[[#This Row],[Quantity]])="",V231,PROPER(TRIM(sales_dataset[[#This Row],[Quantity]])))</f>
        <v>3</v>
      </c>
      <c r="Y225">
        <v>-100</v>
      </c>
      <c r="Z225" t="str">
        <f>IF(TRIM(sales_dataset[[#This Row],[UnitPrice]])="",Y227,PROPER(TRIM(sales_dataset[[#This Row],[UnitPrice]])))</f>
        <v>-100</v>
      </c>
      <c r="AB225">
        <v>-300</v>
      </c>
      <c r="AC225" s="1" t="str">
        <f>IF(TRIM(sales_dataset[[#This Row],[TotalRevenue]])="",AB227,PROPER(TRIM(sales_dataset[[#This Row],[TotalRevenue]])))</f>
        <v>-300</v>
      </c>
      <c r="AD225" s="1">
        <f>ABS(sales_dataset[[#This Row],[Column5]])</f>
        <v>300</v>
      </c>
      <c r="AE225" s="1">
        <f>sales_dataset[[#This Row],[Column17]]*sales_dataset[[#This Row],[Column16]]</f>
        <v>0</v>
      </c>
    </row>
    <row r="226" spans="3:31" x14ac:dyDescent="0.3">
      <c r="C226" s="1" t="s">
        <v>35</v>
      </c>
      <c r="F226" s="1" t="s">
        <v>60</v>
      </c>
      <c r="H226" s="1" t="s">
        <v>19</v>
      </c>
      <c r="J226" s="1" t="s">
        <v>66</v>
      </c>
      <c r="K226" s="1" t="str">
        <f>IF(TRIM(sales_dataset[[#This Row],[Region]])="", J228, PROPER(TRIM(sales_dataset[[#This Row],[Region]])))</f>
        <v>West</v>
      </c>
      <c r="N226" s="1" t="s">
        <v>30</v>
      </c>
      <c r="Q226" s="1" t="s">
        <v>63</v>
      </c>
      <c r="R226" s="1" t="str">
        <f>IF(TRIM(sales_dataset[[#This Row],[ProductCategory]])="", R244, PROPER(TRIM(sales_dataset[[#This Row],[ProductCategory]])))</f>
        <v>Clothing</v>
      </c>
      <c r="T226" s="1" t="s">
        <v>69</v>
      </c>
      <c r="V226">
        <v>3</v>
      </c>
      <c r="W226" t="str">
        <f>IF(TRIM(sales_dataset[[#This Row],[Quantity]])="",V232,PROPER(TRIM(sales_dataset[[#This Row],[Quantity]])))</f>
        <v>3</v>
      </c>
      <c r="Y226">
        <v>2000</v>
      </c>
      <c r="Z226" t="str">
        <f>IF(TRIM(sales_dataset[[#This Row],[UnitPrice]])="",Y228,PROPER(TRIM(sales_dataset[[#This Row],[UnitPrice]])))</f>
        <v>2000</v>
      </c>
      <c r="AB226">
        <v>6000</v>
      </c>
      <c r="AC226" s="1" t="str">
        <f>IF(TRIM(sales_dataset[[#This Row],[TotalRevenue]])="",AB228,PROPER(TRIM(sales_dataset[[#This Row],[TotalRevenue]])))</f>
        <v>6000</v>
      </c>
      <c r="AD226" s="1">
        <f>ABS(sales_dataset[[#This Row],[Column5]])</f>
        <v>6000</v>
      </c>
      <c r="AE226" s="1">
        <f>sales_dataset[[#This Row],[Column17]]*sales_dataset[[#This Row],[Column16]]</f>
        <v>0</v>
      </c>
    </row>
    <row r="227" spans="3:31" x14ac:dyDescent="0.3">
      <c r="C227" s="1" t="s">
        <v>43</v>
      </c>
      <c r="F227" s="1" t="s">
        <v>18</v>
      </c>
      <c r="H227" s="1" t="s">
        <v>45</v>
      </c>
      <c r="J227" s="1" t="s">
        <v>37</v>
      </c>
      <c r="K227" s="1" t="str">
        <f>IF(TRIM(sales_dataset[[#This Row],[Region]])="", J229, PROPER(TRIM(sales_dataset[[#This Row],[Region]])))</f>
        <v>North</v>
      </c>
      <c r="N227" s="1" t="s">
        <v>30</v>
      </c>
      <c r="Q227" s="1" t="s">
        <v>63</v>
      </c>
      <c r="R227" s="1" t="str">
        <f>IF(TRIM(sales_dataset[[#This Row],[ProductCategory]])="", R245, PROPER(TRIM(sales_dataset[[#This Row],[ProductCategory]])))</f>
        <v>Clothing</v>
      </c>
      <c r="T227" s="1" t="s">
        <v>23</v>
      </c>
      <c r="V227">
        <v>4</v>
      </c>
      <c r="W227" t="str">
        <f>IF(TRIM(sales_dataset[[#This Row],[Quantity]])="",V233,PROPER(TRIM(sales_dataset[[#This Row],[Quantity]])))</f>
        <v>4</v>
      </c>
      <c r="Y227">
        <v>500</v>
      </c>
      <c r="Z227" t="str">
        <f>IF(TRIM(sales_dataset[[#This Row],[UnitPrice]])="",Y229,PROPER(TRIM(sales_dataset[[#This Row],[UnitPrice]])))</f>
        <v>500</v>
      </c>
      <c r="AB227">
        <v>2000</v>
      </c>
      <c r="AC227" s="1" t="str">
        <f>IF(TRIM(sales_dataset[[#This Row],[TotalRevenue]])="",AB229,PROPER(TRIM(sales_dataset[[#This Row],[TotalRevenue]])))</f>
        <v>2000</v>
      </c>
      <c r="AD227" s="1">
        <f>ABS(sales_dataset[[#This Row],[Column5]])</f>
        <v>2000</v>
      </c>
      <c r="AE227" s="1">
        <f>sales_dataset[[#This Row],[Column17]]*sales_dataset[[#This Row],[Column16]]</f>
        <v>0</v>
      </c>
    </row>
    <row r="228" spans="3:31" x14ac:dyDescent="0.3">
      <c r="C228" s="1" t="s">
        <v>51</v>
      </c>
      <c r="F228" s="1" t="s">
        <v>18</v>
      </c>
      <c r="H228" s="1" t="s">
        <v>73</v>
      </c>
      <c r="J228" s="1" t="s">
        <v>66</v>
      </c>
      <c r="K228" s="1" t="str">
        <f>IF(TRIM(sales_dataset[[#This Row],[Region]])="", J230, PROPER(TRIM(sales_dataset[[#This Row],[Region]])))</f>
        <v>West</v>
      </c>
      <c r="N228" s="1" t="s">
        <v>19</v>
      </c>
      <c r="Q228" s="1" t="s">
        <v>41</v>
      </c>
      <c r="R228" s="1" t="str">
        <f>IF(TRIM(sales_dataset[[#This Row],[ProductCategory]])="", R246, PROPER(TRIM(sales_dataset[[#This Row],[ProductCategory]])))</f>
        <v>Home</v>
      </c>
      <c r="T228" s="1" t="s">
        <v>87</v>
      </c>
      <c r="V228">
        <v>1</v>
      </c>
      <c r="W228" t="str">
        <f>IF(TRIM(sales_dataset[[#This Row],[Quantity]])="",V234,PROPER(TRIM(sales_dataset[[#This Row],[Quantity]])))</f>
        <v>1</v>
      </c>
      <c r="Z228">
        <f>IF(TRIM(sales_dataset[[#This Row],[UnitPrice]])="",Y230,PROPER(TRIM(sales_dataset[[#This Row],[UnitPrice]])))</f>
        <v>0</v>
      </c>
      <c r="AC228" s="1">
        <f>IF(TRIM(sales_dataset[[#This Row],[TotalRevenue]])="",AB230,PROPER(TRIM(sales_dataset[[#This Row],[TotalRevenue]])))</f>
        <v>0</v>
      </c>
      <c r="AD228" s="1">
        <f>ABS(sales_dataset[[#This Row],[Column5]])</f>
        <v>0</v>
      </c>
      <c r="AE228" s="1">
        <f>sales_dataset[[#This Row],[Column17]]*sales_dataset[[#This Row],[Column16]]</f>
        <v>0</v>
      </c>
    </row>
    <row r="229" spans="3:31" x14ac:dyDescent="0.3">
      <c r="C229" s="1" t="s">
        <v>19</v>
      </c>
      <c r="F229" s="1" t="s">
        <v>18</v>
      </c>
      <c r="H229" s="1" t="s">
        <v>79</v>
      </c>
      <c r="J229" s="1" t="s">
        <v>80</v>
      </c>
      <c r="K229" s="1" t="str">
        <f>IF(TRIM(sales_dataset[[#This Row],[Region]])="", J231, PROPER(TRIM(sales_dataset[[#This Row],[Region]])))</f>
        <v>East</v>
      </c>
      <c r="N229" s="1" t="s">
        <v>30</v>
      </c>
      <c r="Q229" s="1" t="s">
        <v>41</v>
      </c>
      <c r="R229" s="1" t="str">
        <f>IF(TRIM(sales_dataset[[#This Row],[ProductCategory]])="", R247, PROPER(TRIM(sales_dataset[[#This Row],[ProductCategory]])))</f>
        <v>Home</v>
      </c>
      <c r="T229" s="1" t="s">
        <v>76</v>
      </c>
      <c r="V229">
        <v>1</v>
      </c>
      <c r="W229" t="str">
        <f>IF(TRIM(sales_dataset[[#This Row],[Quantity]])="",V235,PROPER(TRIM(sales_dataset[[#This Row],[Quantity]])))</f>
        <v>1</v>
      </c>
      <c r="Y229">
        <v>2000</v>
      </c>
      <c r="Z229" t="str">
        <f>IF(TRIM(sales_dataset[[#This Row],[UnitPrice]])="",Y231,PROPER(TRIM(sales_dataset[[#This Row],[UnitPrice]])))</f>
        <v>2000</v>
      </c>
      <c r="AB229">
        <v>2000</v>
      </c>
      <c r="AC229" s="1" t="str">
        <f>IF(TRIM(sales_dataset[[#This Row],[TotalRevenue]])="",AB231,PROPER(TRIM(sales_dataset[[#This Row],[TotalRevenue]])))</f>
        <v>2000</v>
      </c>
      <c r="AD229" s="1">
        <f>ABS(sales_dataset[[#This Row],[Column5]])</f>
        <v>2000</v>
      </c>
      <c r="AE229" s="1">
        <f>sales_dataset[[#This Row],[Column17]]*sales_dataset[[#This Row],[Column16]]</f>
        <v>0</v>
      </c>
    </row>
    <row r="230" spans="3:31" x14ac:dyDescent="0.3">
      <c r="C230" s="1" t="s">
        <v>16</v>
      </c>
      <c r="F230" s="1" t="s">
        <v>27</v>
      </c>
      <c r="H230" s="1" t="s">
        <v>73</v>
      </c>
      <c r="J230" s="1" t="s">
        <v>46</v>
      </c>
      <c r="K230" s="1" t="str">
        <f>IF(TRIM(sales_dataset[[#This Row],[Region]])="", J232, PROPER(TRIM(sales_dataset[[#This Row],[Region]])))</f>
        <v>North</v>
      </c>
      <c r="N230" s="1" t="s">
        <v>30</v>
      </c>
      <c r="Q230" s="1" t="s">
        <v>41</v>
      </c>
      <c r="R230" s="1" t="str">
        <f>IF(TRIM(sales_dataset[[#This Row],[ProductCategory]])="", R248, PROPER(TRIM(sales_dataset[[#This Row],[ProductCategory]])))</f>
        <v>Home</v>
      </c>
      <c r="T230" s="1" t="s">
        <v>33</v>
      </c>
      <c r="V230">
        <v>-1</v>
      </c>
      <c r="W230" t="str">
        <f>IF(TRIM(sales_dataset[[#This Row],[Quantity]])="",V236,PROPER(TRIM(sales_dataset[[#This Row],[Quantity]])))</f>
        <v>-1</v>
      </c>
      <c r="Z230">
        <f>IF(TRIM(sales_dataset[[#This Row],[UnitPrice]])="",Y232,PROPER(TRIM(sales_dataset[[#This Row],[UnitPrice]])))</f>
        <v>2500</v>
      </c>
      <c r="AC230" s="1">
        <f>IF(TRIM(sales_dataset[[#This Row],[TotalRevenue]])="",AB232,PROPER(TRIM(sales_dataset[[#This Row],[TotalRevenue]])))</f>
        <v>-2500</v>
      </c>
      <c r="AD230" s="1">
        <f>ABS(sales_dataset[[#This Row],[Column5]])</f>
        <v>2500</v>
      </c>
      <c r="AE230" s="1">
        <f>sales_dataset[[#This Row],[Column17]]*sales_dataset[[#This Row],[Column16]]</f>
        <v>0</v>
      </c>
    </row>
    <row r="231" spans="3:31" x14ac:dyDescent="0.3">
      <c r="C231" s="1" t="s">
        <v>25</v>
      </c>
      <c r="F231" s="1" t="s">
        <v>72</v>
      </c>
      <c r="H231" s="1" t="s">
        <v>54</v>
      </c>
      <c r="J231" s="1" t="s">
        <v>19</v>
      </c>
      <c r="K231" s="1" t="str">
        <f>IF(TRIM(sales_dataset[[#This Row],[Region]])="", J233, PROPER(TRIM(sales_dataset[[#This Row],[Region]])))</f>
        <v>East</v>
      </c>
      <c r="N231" s="1" t="s">
        <v>56</v>
      </c>
      <c r="Q231" s="1" t="s">
        <v>32</v>
      </c>
      <c r="R231" s="1" t="str">
        <f>IF(TRIM(sales_dataset[[#This Row],[ProductCategory]])="", R249, PROPER(TRIM(sales_dataset[[#This Row],[ProductCategory]])))</f>
        <v>Electronics</v>
      </c>
      <c r="T231" s="1" t="s">
        <v>33</v>
      </c>
      <c r="V231">
        <v>2</v>
      </c>
      <c r="W231" t="str">
        <f>IF(TRIM(sales_dataset[[#This Row],[Quantity]])="",V237,PROPER(TRIM(sales_dataset[[#This Row],[Quantity]])))</f>
        <v>2</v>
      </c>
      <c r="Z231">
        <f>IF(TRIM(sales_dataset[[#This Row],[UnitPrice]])="",Y233,PROPER(TRIM(sales_dataset[[#This Row],[UnitPrice]])))</f>
        <v>2500</v>
      </c>
      <c r="AC231" s="1">
        <f>IF(TRIM(sales_dataset[[#This Row],[TotalRevenue]])="",AB233,PROPER(TRIM(sales_dataset[[#This Row],[TotalRevenue]])))</f>
        <v>2500</v>
      </c>
      <c r="AD231" s="1">
        <f>ABS(sales_dataset[[#This Row],[Column5]])</f>
        <v>2500</v>
      </c>
      <c r="AE231" s="1">
        <f>sales_dataset[[#This Row],[Column17]]*sales_dataset[[#This Row],[Column16]]</f>
        <v>0</v>
      </c>
    </row>
    <row r="232" spans="3:31" x14ac:dyDescent="0.3">
      <c r="C232" s="1" t="s">
        <v>35</v>
      </c>
      <c r="F232" s="1" t="s">
        <v>72</v>
      </c>
      <c r="H232" s="1" t="s">
        <v>147</v>
      </c>
      <c r="J232" s="1" t="s">
        <v>98</v>
      </c>
      <c r="K232" s="1" t="str">
        <f>IF(TRIM(sales_dataset[[#This Row],[Region]])="", J234, PROPER(TRIM(sales_dataset[[#This Row],[Region]])))</f>
        <v>South</v>
      </c>
      <c r="N232" s="1" t="s">
        <v>39</v>
      </c>
      <c r="Q232" s="1" t="s">
        <v>41</v>
      </c>
      <c r="R232" s="1" t="str">
        <f>IF(TRIM(sales_dataset[[#This Row],[ProductCategory]])="", R250, PROPER(TRIM(sales_dataset[[#This Row],[ProductCategory]])))</f>
        <v>Home</v>
      </c>
      <c r="T232" s="1" t="s">
        <v>23</v>
      </c>
      <c r="V232">
        <v>-1</v>
      </c>
      <c r="W232" t="str">
        <f>IF(TRIM(sales_dataset[[#This Row],[Quantity]])="",V238,PROPER(TRIM(sales_dataset[[#This Row],[Quantity]])))</f>
        <v>-1</v>
      </c>
      <c r="Y232">
        <v>2500</v>
      </c>
      <c r="Z232" t="str">
        <f>IF(TRIM(sales_dataset[[#This Row],[UnitPrice]])="",Y234,PROPER(TRIM(sales_dataset[[#This Row],[UnitPrice]])))</f>
        <v>2500</v>
      </c>
      <c r="AB232">
        <v>-2500</v>
      </c>
      <c r="AC232" s="1" t="str">
        <f>IF(TRIM(sales_dataset[[#This Row],[TotalRevenue]])="",AB234,PROPER(TRIM(sales_dataset[[#This Row],[TotalRevenue]])))</f>
        <v>-2500</v>
      </c>
      <c r="AD232" s="1">
        <f>ABS(sales_dataset[[#This Row],[Column5]])</f>
        <v>2500</v>
      </c>
      <c r="AE232" s="1">
        <f>sales_dataset[[#This Row],[Column17]]*sales_dataset[[#This Row],[Column16]]</f>
        <v>0</v>
      </c>
    </row>
    <row r="233" spans="3:31" x14ac:dyDescent="0.3">
      <c r="C233" s="1" t="s">
        <v>43</v>
      </c>
      <c r="F233" s="1" t="s">
        <v>118</v>
      </c>
      <c r="H233" s="1" t="s">
        <v>79</v>
      </c>
      <c r="J233" s="1" t="s">
        <v>80</v>
      </c>
      <c r="K233" s="1" t="str">
        <f>IF(TRIM(sales_dataset[[#This Row],[Region]])="", J235, PROPER(TRIM(sales_dataset[[#This Row],[Region]])))</f>
        <v>East</v>
      </c>
      <c r="N233" s="1" t="s">
        <v>19</v>
      </c>
      <c r="Q233" s="1" t="s">
        <v>41</v>
      </c>
      <c r="R233" s="1" t="str">
        <f>IF(TRIM(sales_dataset[[#This Row],[ProductCategory]])="", R251, PROPER(TRIM(sales_dataset[[#This Row],[ProductCategory]])))</f>
        <v>Home</v>
      </c>
      <c r="T233" s="1" t="s">
        <v>33</v>
      </c>
      <c r="V233">
        <v>1</v>
      </c>
      <c r="W233" t="str">
        <f>IF(TRIM(sales_dataset[[#This Row],[Quantity]])="",V239,PROPER(TRIM(sales_dataset[[#This Row],[Quantity]])))</f>
        <v>1</v>
      </c>
      <c r="Y233">
        <v>2500</v>
      </c>
      <c r="Z233" t="str">
        <f>IF(TRIM(sales_dataset[[#This Row],[UnitPrice]])="",Y235,PROPER(TRIM(sales_dataset[[#This Row],[UnitPrice]])))</f>
        <v>2500</v>
      </c>
      <c r="AB233">
        <v>2500</v>
      </c>
      <c r="AC233" s="1" t="str">
        <f>IF(TRIM(sales_dataset[[#This Row],[TotalRevenue]])="",AB235,PROPER(TRIM(sales_dataset[[#This Row],[TotalRevenue]])))</f>
        <v>2500</v>
      </c>
      <c r="AD233" s="1">
        <f>ABS(sales_dataset[[#This Row],[Column5]])</f>
        <v>2500</v>
      </c>
      <c r="AE233" s="1">
        <f>sales_dataset[[#This Row],[Column17]]*sales_dataset[[#This Row],[Column16]]</f>
        <v>0</v>
      </c>
    </row>
    <row r="234" spans="3:31" x14ac:dyDescent="0.3">
      <c r="C234" s="1" t="s">
        <v>51</v>
      </c>
      <c r="F234" s="1" t="s">
        <v>27</v>
      </c>
      <c r="H234" s="1" t="s">
        <v>147</v>
      </c>
      <c r="J234" s="1" t="s">
        <v>80</v>
      </c>
      <c r="K234" s="1" t="str">
        <f>IF(TRIM(sales_dataset[[#This Row],[Region]])="", J236, PROPER(TRIM(sales_dataset[[#This Row],[Region]])))</f>
        <v>East</v>
      </c>
      <c r="N234" s="1" t="s">
        <v>39</v>
      </c>
      <c r="Q234" s="1" t="s">
        <v>32</v>
      </c>
      <c r="R234" s="1" t="str">
        <f>IF(TRIM(sales_dataset[[#This Row],[ProductCategory]])="", R252, PROPER(TRIM(sales_dataset[[#This Row],[ProductCategory]])))</f>
        <v>Electronics</v>
      </c>
      <c r="T234" s="1" t="s">
        <v>19</v>
      </c>
      <c r="V234">
        <v>-1</v>
      </c>
      <c r="W234" t="str">
        <f>IF(TRIM(sales_dataset[[#This Row],[Quantity]])="",V240,PROPER(TRIM(sales_dataset[[#This Row],[Quantity]])))</f>
        <v>-1</v>
      </c>
      <c r="Y234">
        <v>500</v>
      </c>
      <c r="Z234" t="str">
        <f>IF(TRIM(sales_dataset[[#This Row],[UnitPrice]])="",Y236,PROPER(TRIM(sales_dataset[[#This Row],[UnitPrice]])))</f>
        <v>500</v>
      </c>
      <c r="AB234">
        <v>-500</v>
      </c>
      <c r="AC234" s="1" t="str">
        <f>IF(TRIM(sales_dataset[[#This Row],[TotalRevenue]])="",AB236,PROPER(TRIM(sales_dataset[[#This Row],[TotalRevenue]])))</f>
        <v>-500</v>
      </c>
      <c r="AD234" s="1">
        <f>ABS(sales_dataset[[#This Row],[Column5]])</f>
        <v>500</v>
      </c>
      <c r="AE234" s="1">
        <f>sales_dataset[[#This Row],[Column17]]*sales_dataset[[#This Row],[Column16]]</f>
        <v>0</v>
      </c>
    </row>
    <row r="235" spans="3:31" x14ac:dyDescent="0.3">
      <c r="C235" s="1" t="s">
        <v>19</v>
      </c>
      <c r="F235" s="1" t="s">
        <v>118</v>
      </c>
      <c r="H235" s="1" t="s">
        <v>147</v>
      </c>
      <c r="J235" s="1" t="s">
        <v>46</v>
      </c>
      <c r="K235" s="1" t="str">
        <f>IF(TRIM(sales_dataset[[#This Row],[Region]])="", J237, PROPER(TRIM(sales_dataset[[#This Row],[Region]])))</f>
        <v>North</v>
      </c>
      <c r="N235" s="1" t="s">
        <v>30</v>
      </c>
      <c r="Q235" s="1" t="s">
        <v>41</v>
      </c>
      <c r="R235" s="1" t="str">
        <f>IF(TRIM(sales_dataset[[#This Row],[ProductCategory]])="", R253, PROPER(TRIM(sales_dataset[[#This Row],[ProductCategory]])))</f>
        <v>Home</v>
      </c>
      <c r="T235" s="1" t="s">
        <v>19</v>
      </c>
      <c r="V235">
        <v>3</v>
      </c>
      <c r="W235" t="str">
        <f>IF(TRIM(sales_dataset[[#This Row],[Quantity]])="",V241,PROPER(TRIM(sales_dataset[[#This Row],[Quantity]])))</f>
        <v>3</v>
      </c>
      <c r="Y235">
        <v>2000</v>
      </c>
      <c r="Z235" t="str">
        <f>IF(TRIM(sales_dataset[[#This Row],[UnitPrice]])="",Y237,PROPER(TRIM(sales_dataset[[#This Row],[UnitPrice]])))</f>
        <v>2000</v>
      </c>
      <c r="AB235">
        <v>6000</v>
      </c>
      <c r="AC235" s="1" t="str">
        <f>IF(TRIM(sales_dataset[[#This Row],[TotalRevenue]])="",AB237,PROPER(TRIM(sales_dataset[[#This Row],[TotalRevenue]])))</f>
        <v>6000</v>
      </c>
      <c r="AD235" s="1">
        <f>ABS(sales_dataset[[#This Row],[Column5]])</f>
        <v>6000</v>
      </c>
      <c r="AE235" s="1">
        <f>sales_dataset[[#This Row],[Column17]]*sales_dataset[[#This Row],[Column16]]</f>
        <v>0</v>
      </c>
    </row>
    <row r="236" spans="3:31" x14ac:dyDescent="0.3">
      <c r="C236" s="1" t="s">
        <v>16</v>
      </c>
      <c r="F236" s="1" t="s">
        <v>53</v>
      </c>
      <c r="H236" s="1" t="s">
        <v>45</v>
      </c>
      <c r="J236" s="1" t="s">
        <v>19</v>
      </c>
      <c r="K236" s="1" t="str">
        <f>IF(TRIM(sales_dataset[[#This Row],[Region]])="", J238, PROPER(TRIM(sales_dataset[[#This Row],[Region]])))</f>
        <v>East</v>
      </c>
      <c r="N236" s="1" t="s">
        <v>19</v>
      </c>
      <c r="Q236" s="1" t="s">
        <v>63</v>
      </c>
      <c r="R236" s="1" t="str">
        <f>IF(TRIM(sales_dataset[[#This Row],[ProductCategory]])="", R254, PROPER(TRIM(sales_dataset[[#This Row],[ProductCategory]])))</f>
        <v>Clothing</v>
      </c>
      <c r="T236" s="1" t="s">
        <v>33</v>
      </c>
      <c r="V236">
        <v>3</v>
      </c>
      <c r="W236" t="str">
        <f>IF(TRIM(sales_dataset[[#This Row],[Quantity]])="",V242,PROPER(TRIM(sales_dataset[[#This Row],[Quantity]])))</f>
        <v>3</v>
      </c>
      <c r="Y236">
        <v>-100</v>
      </c>
      <c r="Z236" t="str">
        <f>IF(TRIM(sales_dataset[[#This Row],[UnitPrice]])="",Y238,PROPER(TRIM(sales_dataset[[#This Row],[UnitPrice]])))</f>
        <v>-100</v>
      </c>
      <c r="AB236">
        <v>-300</v>
      </c>
      <c r="AC236" s="1" t="str">
        <f>IF(TRIM(sales_dataset[[#This Row],[TotalRevenue]])="",AB238,PROPER(TRIM(sales_dataset[[#This Row],[TotalRevenue]])))</f>
        <v>-300</v>
      </c>
      <c r="AD236" s="1">
        <f>ABS(sales_dataset[[#This Row],[Column5]])</f>
        <v>300</v>
      </c>
      <c r="AE236" s="1">
        <f>sales_dataset[[#This Row],[Column17]]*sales_dataset[[#This Row],[Column16]]</f>
        <v>0</v>
      </c>
    </row>
    <row r="237" spans="3:31" x14ac:dyDescent="0.3">
      <c r="C237" s="1" t="s">
        <v>25</v>
      </c>
      <c r="F237" s="1" t="s">
        <v>19</v>
      </c>
      <c r="H237" s="1" t="s">
        <v>147</v>
      </c>
      <c r="J237" s="1" t="s">
        <v>80</v>
      </c>
      <c r="K237" s="1" t="str">
        <f>IF(TRIM(sales_dataset[[#This Row],[Region]])="", J239, PROPER(TRIM(sales_dataset[[#This Row],[Region]])))</f>
        <v>East</v>
      </c>
      <c r="N237" s="1" t="s">
        <v>39</v>
      </c>
      <c r="Q237" s="1" t="s">
        <v>82</v>
      </c>
      <c r="R237" s="1" t="str">
        <f>IF(TRIM(sales_dataset[[#This Row],[ProductCategory]])="", R255, PROPER(TRIM(sales_dataset[[#This Row],[ProductCategory]])))</f>
        <v>Electronics</v>
      </c>
      <c r="T237" s="1" t="s">
        <v>33</v>
      </c>
      <c r="V237">
        <v>-1</v>
      </c>
      <c r="W237" t="str">
        <f>IF(TRIM(sales_dataset[[#This Row],[Quantity]])="",V243,PROPER(TRIM(sales_dataset[[#This Row],[Quantity]])))</f>
        <v>-1</v>
      </c>
      <c r="Y237">
        <v>1500</v>
      </c>
      <c r="Z237" t="str">
        <f>IF(TRIM(sales_dataset[[#This Row],[UnitPrice]])="",Y239,PROPER(TRIM(sales_dataset[[#This Row],[UnitPrice]])))</f>
        <v>1500</v>
      </c>
      <c r="AB237">
        <v>-1500</v>
      </c>
      <c r="AC237" s="1" t="str">
        <f>IF(TRIM(sales_dataset[[#This Row],[TotalRevenue]])="",AB239,PROPER(TRIM(sales_dataset[[#This Row],[TotalRevenue]])))</f>
        <v>-1500</v>
      </c>
      <c r="AD237" s="1">
        <f>ABS(sales_dataset[[#This Row],[Column5]])</f>
        <v>1500</v>
      </c>
      <c r="AE237" s="1">
        <f>sales_dataset[[#This Row],[Column17]]*sales_dataset[[#This Row],[Column16]]</f>
        <v>0</v>
      </c>
    </row>
    <row r="238" spans="3:31" x14ac:dyDescent="0.3">
      <c r="C238" s="1" t="s">
        <v>35</v>
      </c>
      <c r="F238" s="1" t="s">
        <v>72</v>
      </c>
      <c r="H238" s="1" t="s">
        <v>147</v>
      </c>
      <c r="J238" s="1" t="s">
        <v>80</v>
      </c>
      <c r="K238" s="1" t="str">
        <f>IF(TRIM(sales_dataset[[#This Row],[Region]])="", J240, PROPER(TRIM(sales_dataset[[#This Row],[Region]])))</f>
        <v>East</v>
      </c>
      <c r="N238" s="1" t="s">
        <v>30</v>
      </c>
      <c r="Q238" s="1" t="s">
        <v>63</v>
      </c>
      <c r="R238" s="1" t="str">
        <f>IF(TRIM(sales_dataset[[#This Row],[ProductCategory]])="", R256, PROPER(TRIM(sales_dataset[[#This Row],[ProductCategory]])))</f>
        <v>Clothing</v>
      </c>
      <c r="T238" s="1" t="s">
        <v>33</v>
      </c>
      <c r="W238">
        <f>IF(TRIM(sales_dataset[[#This Row],[Quantity]])="",V244,PROPER(TRIM(sales_dataset[[#This Row],[Quantity]])))</f>
        <v>-1</v>
      </c>
      <c r="Y238">
        <v>2000</v>
      </c>
      <c r="Z238" t="str">
        <f>IF(TRIM(sales_dataset[[#This Row],[UnitPrice]])="",Y240,PROPER(TRIM(sales_dataset[[#This Row],[UnitPrice]])))</f>
        <v>2000</v>
      </c>
      <c r="AC238" s="1">
        <f>IF(TRIM(sales_dataset[[#This Row],[TotalRevenue]])="",AB240,PROPER(TRIM(sales_dataset[[#This Row],[TotalRevenue]])))</f>
        <v>2000</v>
      </c>
      <c r="AD238" s="1">
        <f>ABS(sales_dataset[[#This Row],[Column5]])</f>
        <v>2000</v>
      </c>
      <c r="AE238" s="1">
        <f>sales_dataset[[#This Row],[Column17]]*sales_dataset[[#This Row],[Column16]]</f>
        <v>0</v>
      </c>
    </row>
    <row r="239" spans="3:31" x14ac:dyDescent="0.3">
      <c r="C239" s="1" t="s">
        <v>43</v>
      </c>
      <c r="F239" s="1" t="s">
        <v>72</v>
      </c>
      <c r="H239" s="1" t="s">
        <v>54</v>
      </c>
      <c r="J239" s="1" t="s">
        <v>46</v>
      </c>
      <c r="K239" s="1" t="str">
        <f>IF(TRIM(sales_dataset[[#This Row],[Region]])="", J241, PROPER(TRIM(sales_dataset[[#This Row],[Region]])))</f>
        <v>North</v>
      </c>
      <c r="N239" s="1" t="s">
        <v>39</v>
      </c>
      <c r="Q239" s="1" t="s">
        <v>63</v>
      </c>
      <c r="R239" s="1" t="str">
        <f>IF(TRIM(sales_dataset[[#This Row],[ProductCategory]])="", R257, PROPER(TRIM(sales_dataset[[#This Row],[ProductCategory]])))</f>
        <v>Clothing</v>
      </c>
      <c r="T239" s="1" t="s">
        <v>19</v>
      </c>
      <c r="V239">
        <v>3</v>
      </c>
      <c r="W239" t="str">
        <f>IF(TRIM(sales_dataset[[#This Row],[Quantity]])="",V245,PROPER(TRIM(sales_dataset[[#This Row],[Quantity]])))</f>
        <v>3</v>
      </c>
      <c r="Z239">
        <f>IF(TRIM(sales_dataset[[#This Row],[UnitPrice]])="",Y241,PROPER(TRIM(sales_dataset[[#This Row],[UnitPrice]])))</f>
        <v>500</v>
      </c>
      <c r="AC239" s="1">
        <f>IF(TRIM(sales_dataset[[#This Row],[TotalRevenue]])="",AB241,PROPER(TRIM(sales_dataset[[#This Row],[TotalRevenue]])))</f>
        <v>0</v>
      </c>
      <c r="AD239" s="1">
        <f>ABS(sales_dataset[[#This Row],[Column5]])</f>
        <v>0</v>
      </c>
      <c r="AE239" s="1">
        <f>sales_dataset[[#This Row],[Column17]]*sales_dataset[[#This Row],[Column16]]</f>
        <v>0</v>
      </c>
    </row>
    <row r="240" spans="3:31" x14ac:dyDescent="0.3">
      <c r="C240" s="1" t="s">
        <v>51</v>
      </c>
      <c r="F240" s="1" t="s">
        <v>72</v>
      </c>
      <c r="H240" s="1" t="s">
        <v>28</v>
      </c>
      <c r="J240" s="1" t="s">
        <v>80</v>
      </c>
      <c r="K240" s="1" t="str">
        <f>IF(TRIM(sales_dataset[[#This Row],[Region]])="", J242, PROPER(TRIM(sales_dataset[[#This Row],[Region]])))</f>
        <v>East</v>
      </c>
      <c r="N240" s="1" t="s">
        <v>48</v>
      </c>
      <c r="Q240" s="1" t="s">
        <v>19</v>
      </c>
      <c r="R240" s="1" t="str">
        <f>IF(TRIM(sales_dataset[[#This Row],[ProductCategory]])="", R258, PROPER(TRIM(sales_dataset[[#This Row],[ProductCategory]])))</f>
        <v>Electronics</v>
      </c>
      <c r="T240" s="1" t="s">
        <v>76</v>
      </c>
      <c r="V240">
        <v>4</v>
      </c>
      <c r="W240" t="str">
        <f>IF(TRIM(sales_dataset[[#This Row],[Quantity]])="",V246,PROPER(TRIM(sales_dataset[[#This Row],[Quantity]])))</f>
        <v>4</v>
      </c>
      <c r="Y240">
        <v>500</v>
      </c>
      <c r="Z240" t="str">
        <f>IF(TRIM(sales_dataset[[#This Row],[UnitPrice]])="",Y242,PROPER(TRIM(sales_dataset[[#This Row],[UnitPrice]])))</f>
        <v>500</v>
      </c>
      <c r="AB240">
        <v>2000</v>
      </c>
      <c r="AC240" s="1" t="str">
        <f>IF(TRIM(sales_dataset[[#This Row],[TotalRevenue]])="",AB242,PROPER(TRIM(sales_dataset[[#This Row],[TotalRevenue]])))</f>
        <v>2000</v>
      </c>
      <c r="AD240" s="1">
        <f>ABS(sales_dataset[[#This Row],[Column5]])</f>
        <v>2000</v>
      </c>
      <c r="AE240" s="1">
        <f>sales_dataset[[#This Row],[Column17]]*sales_dataset[[#This Row],[Column16]]</f>
        <v>0</v>
      </c>
    </row>
    <row r="241" spans="3:31" x14ac:dyDescent="0.3">
      <c r="C241" s="1" t="s">
        <v>19</v>
      </c>
      <c r="F241" s="1" t="s">
        <v>60</v>
      </c>
      <c r="H241" s="1" t="s">
        <v>19</v>
      </c>
      <c r="J241" s="1" t="s">
        <v>66</v>
      </c>
      <c r="K241" s="1" t="str">
        <f>IF(TRIM(sales_dataset[[#This Row],[Region]])="", J243, PROPER(TRIM(sales_dataset[[#This Row],[Region]])))</f>
        <v>West</v>
      </c>
      <c r="N241" s="1" t="s">
        <v>56</v>
      </c>
      <c r="Q241" s="1" t="s">
        <v>82</v>
      </c>
      <c r="R241" s="1" t="str">
        <f>IF(TRIM(sales_dataset[[#This Row],[ProductCategory]])="", R259, PROPER(TRIM(sales_dataset[[#This Row],[ProductCategory]])))</f>
        <v>Electronics</v>
      </c>
      <c r="T241" s="1" t="s">
        <v>19</v>
      </c>
      <c r="W241">
        <f>IF(TRIM(sales_dataset[[#This Row],[Quantity]])="",V247,PROPER(TRIM(sales_dataset[[#This Row],[Quantity]])))</f>
        <v>1</v>
      </c>
      <c r="Y241">
        <v>500</v>
      </c>
      <c r="Z241" t="str">
        <f>IF(TRIM(sales_dataset[[#This Row],[UnitPrice]])="",Y243,PROPER(TRIM(sales_dataset[[#This Row],[UnitPrice]])))</f>
        <v>500</v>
      </c>
      <c r="AC241" s="1">
        <f>IF(TRIM(sales_dataset[[#This Row],[TotalRevenue]])="",AB243,PROPER(TRIM(sales_dataset[[#This Row],[TotalRevenue]])))</f>
        <v>0</v>
      </c>
      <c r="AD241" s="1">
        <f>ABS(sales_dataset[[#This Row],[Column5]])</f>
        <v>0</v>
      </c>
      <c r="AE241" s="1">
        <f>sales_dataset[[#This Row],[Column17]]*sales_dataset[[#This Row],[Column16]]</f>
        <v>0</v>
      </c>
    </row>
    <row r="242" spans="3:31" x14ac:dyDescent="0.3">
      <c r="C242" s="1" t="s">
        <v>16</v>
      </c>
      <c r="F242" s="1" t="s">
        <v>118</v>
      </c>
      <c r="H242" s="1" t="s">
        <v>45</v>
      </c>
      <c r="J242" s="1" t="s">
        <v>66</v>
      </c>
      <c r="K242" s="1" t="str">
        <f>IF(TRIM(sales_dataset[[#This Row],[Region]])="", J244, PROPER(TRIM(sales_dataset[[#This Row],[Region]])))</f>
        <v>West</v>
      </c>
      <c r="N242" s="1" t="s">
        <v>21</v>
      </c>
      <c r="Q242" s="1" t="s">
        <v>63</v>
      </c>
      <c r="R242" s="1" t="str">
        <f>IF(TRIM(sales_dataset[[#This Row],[ProductCategory]])="", R260, PROPER(TRIM(sales_dataset[[#This Row],[ProductCategory]])))</f>
        <v>Clothing</v>
      </c>
      <c r="T242" s="1" t="s">
        <v>87</v>
      </c>
      <c r="V242">
        <v>1</v>
      </c>
      <c r="W242" t="str">
        <f>IF(TRIM(sales_dataset[[#This Row],[Quantity]])="",V248,PROPER(TRIM(sales_dataset[[#This Row],[Quantity]])))</f>
        <v>1</v>
      </c>
      <c r="Y242">
        <v>1500</v>
      </c>
      <c r="Z242" t="str">
        <f>IF(TRIM(sales_dataset[[#This Row],[UnitPrice]])="",Y244,PROPER(TRIM(sales_dataset[[#This Row],[UnitPrice]])))</f>
        <v>1500</v>
      </c>
      <c r="AB242">
        <v>1500</v>
      </c>
      <c r="AC242" s="1" t="str">
        <f>IF(TRIM(sales_dataset[[#This Row],[TotalRevenue]])="",AB244,PROPER(TRIM(sales_dataset[[#This Row],[TotalRevenue]])))</f>
        <v>1500</v>
      </c>
      <c r="AD242" s="1">
        <f>ABS(sales_dataset[[#This Row],[Column5]])</f>
        <v>1500</v>
      </c>
      <c r="AE242" s="1">
        <f>sales_dataset[[#This Row],[Column17]]*sales_dataset[[#This Row],[Column16]]</f>
        <v>0</v>
      </c>
    </row>
    <row r="243" spans="3:31" x14ac:dyDescent="0.3">
      <c r="C243" s="1" t="s">
        <v>25</v>
      </c>
      <c r="F243" s="1" t="s">
        <v>19</v>
      </c>
      <c r="H243" s="1" t="s">
        <v>73</v>
      </c>
      <c r="J243" s="1" t="s">
        <v>19</v>
      </c>
      <c r="K243" s="1" t="str">
        <f>IF(TRIM(sales_dataset[[#This Row],[Region]])="", J245, PROPER(TRIM(sales_dataset[[#This Row],[Region]])))</f>
        <v>West</v>
      </c>
      <c r="N243" s="1" t="s">
        <v>30</v>
      </c>
      <c r="Q243" s="1" t="s">
        <v>82</v>
      </c>
      <c r="R243" s="1" t="str">
        <f>IF(TRIM(sales_dataset[[#This Row],[ProductCategory]])="", R261, PROPER(TRIM(sales_dataset[[#This Row],[ProductCategory]])))</f>
        <v>Electronics</v>
      </c>
      <c r="T243" s="1" t="s">
        <v>87</v>
      </c>
      <c r="V243">
        <v>1</v>
      </c>
      <c r="W243" t="str">
        <f>IF(TRIM(sales_dataset[[#This Row],[Quantity]])="",V249,PROPER(TRIM(sales_dataset[[#This Row],[Quantity]])))</f>
        <v>1</v>
      </c>
      <c r="Z243">
        <f>IF(TRIM(sales_dataset[[#This Row],[UnitPrice]])="",Y245,PROPER(TRIM(sales_dataset[[#This Row],[UnitPrice]])))</f>
        <v>500</v>
      </c>
      <c r="AC243" s="1">
        <f>IF(TRIM(sales_dataset[[#This Row],[TotalRevenue]])="",AB245,PROPER(TRIM(sales_dataset[[#This Row],[TotalRevenue]])))</f>
        <v>-500</v>
      </c>
      <c r="AD243" s="1">
        <f>ABS(sales_dataset[[#This Row],[Column5]])</f>
        <v>500</v>
      </c>
      <c r="AE243" s="1">
        <f>sales_dataset[[#This Row],[Column17]]*sales_dataset[[#This Row],[Column16]]</f>
        <v>0</v>
      </c>
    </row>
    <row r="244" spans="3:31" x14ac:dyDescent="0.3">
      <c r="C244" s="1" t="s">
        <v>35</v>
      </c>
      <c r="F244" s="1" t="s">
        <v>27</v>
      </c>
      <c r="H244" s="1" t="s">
        <v>54</v>
      </c>
      <c r="J244" s="1" t="s">
        <v>66</v>
      </c>
      <c r="K244" s="1" t="str">
        <f>IF(TRIM(sales_dataset[[#This Row],[Region]])="", J246, PROPER(TRIM(sales_dataset[[#This Row],[Region]])))</f>
        <v>West</v>
      </c>
      <c r="N244" s="1" t="s">
        <v>48</v>
      </c>
      <c r="Q244" s="1" t="s">
        <v>63</v>
      </c>
      <c r="R244" s="1" t="str">
        <f>IF(TRIM(sales_dataset[[#This Row],[ProductCategory]])="", R262, PROPER(TRIM(sales_dataset[[#This Row],[ProductCategory]])))</f>
        <v>Clothing</v>
      </c>
      <c r="T244" s="1" t="s">
        <v>23</v>
      </c>
      <c r="V244">
        <v>-1</v>
      </c>
      <c r="W244" t="str">
        <f>IF(TRIM(sales_dataset[[#This Row],[Quantity]])="",V250,PROPER(TRIM(sales_dataset[[#This Row],[Quantity]])))</f>
        <v>-1</v>
      </c>
      <c r="Z244">
        <f>IF(TRIM(sales_dataset[[#This Row],[UnitPrice]])="",Y246,PROPER(TRIM(sales_dataset[[#This Row],[UnitPrice]])))</f>
        <v>-100</v>
      </c>
      <c r="AC244" s="1">
        <f>IF(TRIM(sales_dataset[[#This Row],[TotalRevenue]])="",AB246,PROPER(TRIM(sales_dataset[[#This Row],[TotalRevenue]])))</f>
        <v>-100</v>
      </c>
      <c r="AD244" s="1">
        <f>ABS(sales_dataset[[#This Row],[Column5]])</f>
        <v>100</v>
      </c>
      <c r="AE244" s="1">
        <f>sales_dataset[[#This Row],[Column17]]*sales_dataset[[#This Row],[Column16]]</f>
        <v>0</v>
      </c>
    </row>
    <row r="245" spans="3:31" x14ac:dyDescent="0.3">
      <c r="C245" s="1" t="s">
        <v>43</v>
      </c>
      <c r="F245" s="1" t="s">
        <v>118</v>
      </c>
      <c r="H245" s="1" t="s">
        <v>147</v>
      </c>
      <c r="J245" s="1" t="s">
        <v>66</v>
      </c>
      <c r="K245" s="1" t="str">
        <f>IF(TRIM(sales_dataset[[#This Row],[Region]])="", J247, PROPER(TRIM(sales_dataset[[#This Row],[Region]])))</f>
        <v>West</v>
      </c>
      <c r="N245" s="1" t="s">
        <v>19</v>
      </c>
      <c r="Q245" s="1" t="s">
        <v>32</v>
      </c>
      <c r="R245" s="1" t="str">
        <f>IF(TRIM(sales_dataset[[#This Row],[ProductCategory]])="", R263, PROPER(TRIM(sales_dataset[[#This Row],[ProductCategory]])))</f>
        <v>Electronics</v>
      </c>
      <c r="T245" s="1" t="s">
        <v>19</v>
      </c>
      <c r="V245">
        <v>-1</v>
      </c>
      <c r="W245" t="str">
        <f>IF(TRIM(sales_dataset[[#This Row],[Quantity]])="",V251,PROPER(TRIM(sales_dataset[[#This Row],[Quantity]])))</f>
        <v>-1</v>
      </c>
      <c r="Y245">
        <v>500</v>
      </c>
      <c r="Z245" t="str">
        <f>IF(TRIM(sales_dataset[[#This Row],[UnitPrice]])="",Y247,PROPER(TRIM(sales_dataset[[#This Row],[UnitPrice]])))</f>
        <v>500</v>
      </c>
      <c r="AB245">
        <v>-500</v>
      </c>
      <c r="AC245" s="1" t="str">
        <f>IF(TRIM(sales_dataset[[#This Row],[TotalRevenue]])="",AB247,PROPER(TRIM(sales_dataset[[#This Row],[TotalRevenue]])))</f>
        <v>-500</v>
      </c>
      <c r="AD245" s="1">
        <f>ABS(sales_dataset[[#This Row],[Column5]])</f>
        <v>500</v>
      </c>
      <c r="AE245" s="1">
        <f>sales_dataset[[#This Row],[Column17]]*sales_dataset[[#This Row],[Column16]]</f>
        <v>0</v>
      </c>
    </row>
    <row r="246" spans="3:31" x14ac:dyDescent="0.3">
      <c r="C246" s="1" t="s">
        <v>51</v>
      </c>
      <c r="F246" s="1" t="s">
        <v>53</v>
      </c>
      <c r="H246" s="1" t="s">
        <v>73</v>
      </c>
      <c r="J246" s="1" t="s">
        <v>80</v>
      </c>
      <c r="K246" s="1" t="str">
        <f>IF(TRIM(sales_dataset[[#This Row],[Region]])="", J248, PROPER(TRIM(sales_dataset[[#This Row],[Region]])))</f>
        <v>East</v>
      </c>
      <c r="N246" s="1" t="s">
        <v>19</v>
      </c>
      <c r="Q246" s="1" t="s">
        <v>32</v>
      </c>
      <c r="R246" s="1" t="str">
        <f>IF(TRIM(sales_dataset[[#This Row],[ProductCategory]])="", R264, PROPER(TRIM(sales_dataset[[#This Row],[ProductCategory]])))</f>
        <v>Electronics</v>
      </c>
      <c r="T246" s="1" t="s">
        <v>69</v>
      </c>
      <c r="V246">
        <v>1</v>
      </c>
      <c r="W246" t="str">
        <f>IF(TRIM(sales_dataset[[#This Row],[Quantity]])="",V252,PROPER(TRIM(sales_dataset[[#This Row],[Quantity]])))</f>
        <v>1</v>
      </c>
      <c r="Y246">
        <v>-100</v>
      </c>
      <c r="Z246" t="str">
        <f>IF(TRIM(sales_dataset[[#This Row],[UnitPrice]])="",Y248,PROPER(TRIM(sales_dataset[[#This Row],[UnitPrice]])))</f>
        <v>-100</v>
      </c>
      <c r="AB246">
        <v>-100</v>
      </c>
      <c r="AC246" s="1" t="str">
        <f>IF(TRIM(sales_dataset[[#This Row],[TotalRevenue]])="",AB248,PROPER(TRIM(sales_dataset[[#This Row],[TotalRevenue]])))</f>
        <v>-100</v>
      </c>
      <c r="AD246" s="1">
        <f>ABS(sales_dataset[[#This Row],[Column5]])</f>
        <v>100</v>
      </c>
      <c r="AE246" s="1">
        <f>sales_dataset[[#This Row],[Column17]]*sales_dataset[[#This Row],[Column16]]</f>
        <v>0</v>
      </c>
    </row>
    <row r="247" spans="3:31" x14ac:dyDescent="0.3">
      <c r="C247" s="1" t="s">
        <v>19</v>
      </c>
      <c r="F247" s="1" t="s">
        <v>72</v>
      </c>
      <c r="H247" s="1" t="s">
        <v>54</v>
      </c>
      <c r="J247" s="1" t="s">
        <v>98</v>
      </c>
      <c r="K247" s="1" t="str">
        <f>IF(TRIM(sales_dataset[[#This Row],[Region]])="", J249, PROPER(TRIM(sales_dataset[[#This Row],[Region]])))</f>
        <v>South</v>
      </c>
      <c r="N247" s="1" t="s">
        <v>48</v>
      </c>
      <c r="Q247" s="1" t="s">
        <v>41</v>
      </c>
      <c r="R247" s="1" t="str">
        <f>IF(TRIM(sales_dataset[[#This Row],[ProductCategory]])="", R265, PROPER(TRIM(sales_dataset[[#This Row],[ProductCategory]])))</f>
        <v>Home</v>
      </c>
      <c r="T247" s="1" t="s">
        <v>69</v>
      </c>
      <c r="V247">
        <v>1</v>
      </c>
      <c r="W247" t="str">
        <f>IF(TRIM(sales_dataset[[#This Row],[Quantity]])="",V253,PROPER(TRIM(sales_dataset[[#This Row],[Quantity]])))</f>
        <v>1</v>
      </c>
      <c r="Y247">
        <v>500</v>
      </c>
      <c r="Z247" t="str">
        <f>IF(TRIM(sales_dataset[[#This Row],[UnitPrice]])="",Y249,PROPER(TRIM(sales_dataset[[#This Row],[UnitPrice]])))</f>
        <v>500</v>
      </c>
      <c r="AB247">
        <v>500</v>
      </c>
      <c r="AC247" s="1" t="str">
        <f>IF(TRIM(sales_dataset[[#This Row],[TotalRevenue]])="",AB249,PROPER(TRIM(sales_dataset[[#This Row],[TotalRevenue]])))</f>
        <v>500</v>
      </c>
      <c r="AD247" s="1">
        <f>ABS(sales_dataset[[#This Row],[Column5]])</f>
        <v>500</v>
      </c>
      <c r="AE247" s="1">
        <f>sales_dataset[[#This Row],[Column17]]*sales_dataset[[#This Row],[Column16]]</f>
        <v>0</v>
      </c>
    </row>
    <row r="248" spans="3:31" x14ac:dyDescent="0.3">
      <c r="C248" s="1" t="s">
        <v>16</v>
      </c>
      <c r="F248" s="1" t="s">
        <v>27</v>
      </c>
      <c r="H248" s="1" t="s">
        <v>79</v>
      </c>
      <c r="J248" s="1" t="s">
        <v>66</v>
      </c>
      <c r="K248" s="1" t="str">
        <f>IF(TRIM(sales_dataset[[#This Row],[Region]])="", J250, PROPER(TRIM(sales_dataset[[#This Row],[Region]])))</f>
        <v>West</v>
      </c>
      <c r="N248" s="1" t="s">
        <v>56</v>
      </c>
      <c r="Q248" s="1" t="s">
        <v>32</v>
      </c>
      <c r="R248" s="1" t="str">
        <f>IF(TRIM(sales_dataset[[#This Row],[ProductCategory]])="", R266, PROPER(TRIM(sales_dataset[[#This Row],[ProductCategory]])))</f>
        <v>Electronics</v>
      </c>
      <c r="T248" s="1" t="s">
        <v>33</v>
      </c>
      <c r="V248">
        <v>-1</v>
      </c>
      <c r="W248" t="str">
        <f>IF(TRIM(sales_dataset[[#This Row],[Quantity]])="",V254,PROPER(TRIM(sales_dataset[[#This Row],[Quantity]])))</f>
        <v>-1</v>
      </c>
      <c r="Y248">
        <v>1500</v>
      </c>
      <c r="Z248" t="str">
        <f>IF(TRIM(sales_dataset[[#This Row],[UnitPrice]])="",Y250,PROPER(TRIM(sales_dataset[[#This Row],[UnitPrice]])))</f>
        <v>1500</v>
      </c>
      <c r="AB248">
        <v>-1500</v>
      </c>
      <c r="AC248" s="1" t="str">
        <f>IF(TRIM(sales_dataset[[#This Row],[TotalRevenue]])="",AB250,PROPER(TRIM(sales_dataset[[#This Row],[TotalRevenue]])))</f>
        <v>-1500</v>
      </c>
      <c r="AD248" s="1">
        <f>ABS(sales_dataset[[#This Row],[Column5]])</f>
        <v>1500</v>
      </c>
      <c r="AE248" s="1">
        <f>sales_dataset[[#This Row],[Column17]]*sales_dataset[[#This Row],[Column16]]</f>
        <v>0</v>
      </c>
    </row>
    <row r="249" spans="3:31" x14ac:dyDescent="0.3">
      <c r="C249" s="1" t="s">
        <v>25</v>
      </c>
      <c r="F249" s="1" t="s">
        <v>118</v>
      </c>
      <c r="H249" s="1" t="s">
        <v>79</v>
      </c>
      <c r="J249" s="1" t="s">
        <v>19</v>
      </c>
      <c r="K249" s="1" t="str">
        <f>IF(TRIM(sales_dataset[[#This Row],[Region]])="", J251, PROPER(TRIM(sales_dataset[[#This Row],[Region]])))</f>
        <v>East</v>
      </c>
      <c r="N249" s="1" t="s">
        <v>19</v>
      </c>
      <c r="Q249" s="1" t="s">
        <v>82</v>
      </c>
      <c r="R249" s="1" t="str">
        <f>IF(TRIM(sales_dataset[[#This Row],[ProductCategory]])="", R267, PROPER(TRIM(sales_dataset[[#This Row],[ProductCategory]])))</f>
        <v>Electronics</v>
      </c>
      <c r="T249" s="1" t="s">
        <v>87</v>
      </c>
      <c r="V249">
        <v>2</v>
      </c>
      <c r="W249" t="str">
        <f>IF(TRIM(sales_dataset[[#This Row],[Quantity]])="",V255,PROPER(TRIM(sales_dataset[[#This Row],[Quantity]])))</f>
        <v>2</v>
      </c>
      <c r="Y249">
        <v>-100</v>
      </c>
      <c r="Z249" t="str">
        <f>IF(TRIM(sales_dataset[[#This Row],[UnitPrice]])="",Y251,PROPER(TRIM(sales_dataset[[#This Row],[UnitPrice]])))</f>
        <v>-100</v>
      </c>
      <c r="AB249">
        <v>-200</v>
      </c>
      <c r="AC249" s="1" t="str">
        <f>IF(TRIM(sales_dataset[[#This Row],[TotalRevenue]])="",AB251,PROPER(TRIM(sales_dataset[[#This Row],[TotalRevenue]])))</f>
        <v>-200</v>
      </c>
      <c r="AD249" s="1">
        <f>ABS(sales_dataset[[#This Row],[Column5]])</f>
        <v>200</v>
      </c>
      <c r="AE249" s="1">
        <f>sales_dataset[[#This Row],[Column17]]*sales_dataset[[#This Row],[Column16]]</f>
        <v>0</v>
      </c>
    </row>
    <row r="250" spans="3:31" x14ac:dyDescent="0.3">
      <c r="C250" s="1" t="s">
        <v>35</v>
      </c>
      <c r="F250" s="1" t="s">
        <v>72</v>
      </c>
      <c r="H250" s="1" t="s">
        <v>45</v>
      </c>
      <c r="J250" s="1" t="s">
        <v>66</v>
      </c>
      <c r="K250" s="1" t="str">
        <f>IF(TRIM(sales_dataset[[#This Row],[Region]])="", J252, PROPER(TRIM(sales_dataset[[#This Row],[Region]])))</f>
        <v>West</v>
      </c>
      <c r="N250" s="1" t="s">
        <v>56</v>
      </c>
      <c r="Q250" s="1" t="s">
        <v>19</v>
      </c>
      <c r="R250" s="1" t="str">
        <f>IF(TRIM(sales_dataset[[#This Row],[ProductCategory]])="", R268, PROPER(TRIM(sales_dataset[[#This Row],[ProductCategory]])))</f>
        <v>Home</v>
      </c>
      <c r="T250" s="1" t="s">
        <v>76</v>
      </c>
      <c r="W250">
        <f>IF(TRIM(sales_dataset[[#This Row],[Quantity]])="",V256,PROPER(TRIM(sales_dataset[[#This Row],[Quantity]])))</f>
        <v>5</v>
      </c>
      <c r="Y250">
        <v>-100</v>
      </c>
      <c r="Z250" t="str">
        <f>IF(TRIM(sales_dataset[[#This Row],[UnitPrice]])="",Y252,PROPER(TRIM(sales_dataset[[#This Row],[UnitPrice]])))</f>
        <v>-100</v>
      </c>
      <c r="AC250" s="1">
        <f>IF(TRIM(sales_dataset[[#This Row],[TotalRevenue]])="",AB252,PROPER(TRIM(sales_dataset[[#This Row],[TotalRevenue]])))</f>
        <v>-200</v>
      </c>
      <c r="AD250" s="1">
        <f>ABS(sales_dataset[[#This Row],[Column5]])</f>
        <v>200</v>
      </c>
      <c r="AE250" s="1">
        <f>sales_dataset[[#This Row],[Column17]]*sales_dataset[[#This Row],[Column16]]</f>
        <v>0</v>
      </c>
    </row>
    <row r="251" spans="3:31" x14ac:dyDescent="0.3">
      <c r="C251" s="1" t="s">
        <v>43</v>
      </c>
      <c r="F251" s="1" t="s">
        <v>72</v>
      </c>
      <c r="H251" s="1" t="s">
        <v>147</v>
      </c>
      <c r="J251" s="1" t="s">
        <v>80</v>
      </c>
      <c r="K251" s="1" t="str">
        <f>IF(TRIM(sales_dataset[[#This Row],[Region]])="", J253, PROPER(TRIM(sales_dataset[[#This Row],[Region]])))</f>
        <v>East</v>
      </c>
      <c r="N251" s="1" t="s">
        <v>30</v>
      </c>
      <c r="Q251" s="1" t="s">
        <v>41</v>
      </c>
      <c r="R251" s="1" t="str">
        <f>IF(TRIM(sales_dataset[[#This Row],[ProductCategory]])="", R269, PROPER(TRIM(sales_dataset[[#This Row],[ProductCategory]])))</f>
        <v>Home</v>
      </c>
      <c r="T251" s="1" t="s">
        <v>19</v>
      </c>
      <c r="W251">
        <f>IF(TRIM(sales_dataset[[#This Row],[Quantity]])="",V257,PROPER(TRIM(sales_dataset[[#This Row],[Quantity]])))</f>
        <v>3</v>
      </c>
      <c r="Y251">
        <v>1500</v>
      </c>
      <c r="Z251" t="str">
        <f>IF(TRIM(sales_dataset[[#This Row],[UnitPrice]])="",Y253,PROPER(TRIM(sales_dataset[[#This Row],[UnitPrice]])))</f>
        <v>1500</v>
      </c>
      <c r="AC251" s="1">
        <f>IF(TRIM(sales_dataset[[#This Row],[TotalRevenue]])="",AB253,PROPER(TRIM(sales_dataset[[#This Row],[TotalRevenue]])))</f>
        <v>3750</v>
      </c>
      <c r="AD251" s="1">
        <f>ABS(sales_dataset[[#This Row],[Column5]])</f>
        <v>3750</v>
      </c>
      <c r="AE251" s="1">
        <f>sales_dataset[[#This Row],[Column17]]*sales_dataset[[#This Row],[Column16]]</f>
        <v>0</v>
      </c>
    </row>
    <row r="252" spans="3:31" x14ac:dyDescent="0.3">
      <c r="C252" s="1" t="s">
        <v>51</v>
      </c>
      <c r="F252" s="1" t="s">
        <v>27</v>
      </c>
      <c r="H252" s="1" t="s">
        <v>45</v>
      </c>
      <c r="J252" s="1" t="s">
        <v>37</v>
      </c>
      <c r="K252" s="1" t="str">
        <f>IF(TRIM(sales_dataset[[#This Row],[Region]])="", J254, PROPER(TRIM(sales_dataset[[#This Row],[Region]])))</f>
        <v>North</v>
      </c>
      <c r="N252" s="1" t="s">
        <v>30</v>
      </c>
      <c r="Q252" s="1" t="s">
        <v>63</v>
      </c>
      <c r="R252" s="1" t="str">
        <f>IF(TRIM(sales_dataset[[#This Row],[ProductCategory]])="", R270, PROPER(TRIM(sales_dataset[[#This Row],[ProductCategory]])))</f>
        <v>Clothing</v>
      </c>
      <c r="T252" s="1" t="s">
        <v>19</v>
      </c>
      <c r="V252">
        <v>2</v>
      </c>
      <c r="W252" t="str">
        <f>IF(TRIM(sales_dataset[[#This Row],[Quantity]])="",V258,PROPER(TRIM(sales_dataset[[#This Row],[Quantity]])))</f>
        <v>2</v>
      </c>
      <c r="Y252">
        <v>-100</v>
      </c>
      <c r="Z252" t="str">
        <f>IF(TRIM(sales_dataset[[#This Row],[UnitPrice]])="",Y254,PROPER(TRIM(sales_dataset[[#This Row],[UnitPrice]])))</f>
        <v>-100</v>
      </c>
      <c r="AB252">
        <v>-200</v>
      </c>
      <c r="AC252" s="1" t="str">
        <f>IF(TRIM(sales_dataset[[#This Row],[TotalRevenue]])="",AB254,PROPER(TRIM(sales_dataset[[#This Row],[TotalRevenue]])))</f>
        <v>-200</v>
      </c>
      <c r="AD252" s="1">
        <f>ABS(sales_dataset[[#This Row],[Column5]])</f>
        <v>200</v>
      </c>
      <c r="AE252" s="1">
        <f>sales_dataset[[#This Row],[Column17]]*sales_dataset[[#This Row],[Column16]]</f>
        <v>0</v>
      </c>
    </row>
    <row r="253" spans="3:31" x14ac:dyDescent="0.3">
      <c r="C253" s="1" t="s">
        <v>19</v>
      </c>
      <c r="F253" s="1" t="s">
        <v>53</v>
      </c>
      <c r="H253" s="1" t="s">
        <v>79</v>
      </c>
      <c r="J253" s="1" t="s">
        <v>80</v>
      </c>
      <c r="K253" s="1" t="str">
        <f>IF(TRIM(sales_dataset[[#This Row],[Region]])="", J255, PROPER(TRIM(sales_dataset[[#This Row],[Region]])))</f>
        <v>East</v>
      </c>
      <c r="N253" s="1" t="s">
        <v>48</v>
      </c>
      <c r="Q253" s="1" t="s">
        <v>32</v>
      </c>
      <c r="R253" s="1" t="str">
        <f>IF(TRIM(sales_dataset[[#This Row],[ProductCategory]])="", R271, PROPER(TRIM(sales_dataset[[#This Row],[ProductCategory]])))</f>
        <v>Electronics</v>
      </c>
      <c r="T253" s="1" t="s">
        <v>33</v>
      </c>
      <c r="V253">
        <v>3</v>
      </c>
      <c r="W253" t="str">
        <f>IF(TRIM(sales_dataset[[#This Row],[Quantity]])="",V259,PROPER(TRIM(sales_dataset[[#This Row],[Quantity]])))</f>
        <v>3</v>
      </c>
      <c r="Y253">
        <v>2500</v>
      </c>
      <c r="Z253" t="str">
        <f>IF(TRIM(sales_dataset[[#This Row],[UnitPrice]])="",Y255,PROPER(TRIM(sales_dataset[[#This Row],[UnitPrice]])))</f>
        <v>2500</v>
      </c>
      <c r="AB253">
        <v>3750</v>
      </c>
      <c r="AC253" s="1" t="str">
        <f>IF(TRIM(sales_dataset[[#This Row],[TotalRevenue]])="",AB255,PROPER(TRIM(sales_dataset[[#This Row],[TotalRevenue]])))</f>
        <v>3750</v>
      </c>
      <c r="AD253" s="1">
        <f>ABS(sales_dataset[[#This Row],[Column5]])</f>
        <v>3750</v>
      </c>
      <c r="AE253" s="1">
        <f>sales_dataset[[#This Row],[Column17]]*sales_dataset[[#This Row],[Column16]]</f>
        <v>0</v>
      </c>
    </row>
    <row r="254" spans="3:31" x14ac:dyDescent="0.3">
      <c r="C254" s="1" t="s">
        <v>16</v>
      </c>
      <c r="F254" s="1" t="s">
        <v>18</v>
      </c>
      <c r="H254" s="1" t="s">
        <v>54</v>
      </c>
      <c r="J254" s="1" t="s">
        <v>46</v>
      </c>
      <c r="K254" s="1" t="str">
        <f>IF(TRIM(sales_dataset[[#This Row],[Region]])="", J256, PROPER(TRIM(sales_dataset[[#This Row],[Region]])))</f>
        <v>North</v>
      </c>
      <c r="N254" s="1" t="s">
        <v>48</v>
      </c>
      <c r="Q254" s="1" t="s">
        <v>41</v>
      </c>
      <c r="R254" s="1" t="str">
        <f>IF(TRIM(sales_dataset[[#This Row],[ProductCategory]])="", R272, PROPER(TRIM(sales_dataset[[#This Row],[ProductCategory]])))</f>
        <v>Home</v>
      </c>
      <c r="T254" s="1" t="s">
        <v>33</v>
      </c>
      <c r="V254">
        <v>3</v>
      </c>
      <c r="W254" t="str">
        <f>IF(TRIM(sales_dataset[[#This Row],[Quantity]])="",V260,PROPER(TRIM(sales_dataset[[#This Row],[Quantity]])))</f>
        <v>3</v>
      </c>
      <c r="Y254">
        <v>500</v>
      </c>
      <c r="Z254" t="str">
        <f>IF(TRIM(sales_dataset[[#This Row],[UnitPrice]])="",Y256,PROPER(TRIM(sales_dataset[[#This Row],[UnitPrice]])))</f>
        <v>500</v>
      </c>
      <c r="AB254">
        <v>750</v>
      </c>
      <c r="AC254" s="1" t="str">
        <f>IF(TRIM(sales_dataset[[#This Row],[TotalRevenue]])="",AB256,PROPER(TRIM(sales_dataset[[#This Row],[TotalRevenue]])))</f>
        <v>750</v>
      </c>
      <c r="AD254" s="1">
        <f>ABS(sales_dataset[[#This Row],[Column5]])</f>
        <v>750</v>
      </c>
      <c r="AE254" s="1">
        <f>sales_dataset[[#This Row],[Column17]]*sales_dataset[[#This Row],[Column16]]</f>
        <v>0</v>
      </c>
    </row>
    <row r="255" spans="3:31" x14ac:dyDescent="0.3">
      <c r="C255" s="1" t="s">
        <v>25</v>
      </c>
      <c r="F255" s="1" t="s">
        <v>27</v>
      </c>
      <c r="H255" s="1" t="s">
        <v>73</v>
      </c>
      <c r="J255" s="1" t="s">
        <v>19</v>
      </c>
      <c r="K255" s="1" t="str">
        <f>IF(TRIM(sales_dataset[[#This Row],[Region]])="", J257, PROPER(TRIM(sales_dataset[[#This Row],[Region]])))</f>
        <v>North</v>
      </c>
      <c r="N255" s="1" t="s">
        <v>56</v>
      </c>
      <c r="Q255" s="1" t="s">
        <v>32</v>
      </c>
      <c r="R255" s="1" t="str">
        <f>IF(TRIM(sales_dataset[[#This Row],[ProductCategory]])="", R273, PROPER(TRIM(sales_dataset[[#This Row],[ProductCategory]])))</f>
        <v>Electronics</v>
      </c>
      <c r="T255" s="1" t="s">
        <v>87</v>
      </c>
      <c r="V255">
        <v>4</v>
      </c>
      <c r="W255" t="str">
        <f>IF(TRIM(sales_dataset[[#This Row],[Quantity]])="",V261,PROPER(TRIM(sales_dataset[[#This Row],[Quantity]])))</f>
        <v>4</v>
      </c>
      <c r="Y255">
        <v>1500</v>
      </c>
      <c r="Z255" t="str">
        <f>IF(TRIM(sales_dataset[[#This Row],[UnitPrice]])="",Y257,PROPER(TRIM(sales_dataset[[#This Row],[UnitPrice]])))</f>
        <v>1500</v>
      </c>
      <c r="AB255">
        <v>6000</v>
      </c>
      <c r="AC255" s="1" t="str">
        <f>IF(TRIM(sales_dataset[[#This Row],[TotalRevenue]])="",AB257,PROPER(TRIM(sales_dataset[[#This Row],[TotalRevenue]])))</f>
        <v>6000</v>
      </c>
      <c r="AD255" s="1">
        <f>ABS(sales_dataset[[#This Row],[Column5]])</f>
        <v>6000</v>
      </c>
      <c r="AE255" s="1">
        <f>sales_dataset[[#This Row],[Column17]]*sales_dataset[[#This Row],[Column16]]</f>
        <v>0</v>
      </c>
    </row>
    <row r="256" spans="3:31" x14ac:dyDescent="0.3">
      <c r="C256" s="1" t="s">
        <v>35</v>
      </c>
      <c r="F256" s="1" t="s">
        <v>18</v>
      </c>
      <c r="H256" s="1" t="s">
        <v>28</v>
      </c>
      <c r="J256" s="1" t="s">
        <v>66</v>
      </c>
      <c r="K256" s="1" t="str">
        <f>IF(TRIM(sales_dataset[[#This Row],[Region]])="", J258, PROPER(TRIM(sales_dataset[[#This Row],[Region]])))</f>
        <v>West</v>
      </c>
      <c r="N256" s="1" t="s">
        <v>30</v>
      </c>
      <c r="Q256" s="1" t="s">
        <v>41</v>
      </c>
      <c r="R256" s="1" t="str">
        <f>IF(TRIM(sales_dataset[[#This Row],[ProductCategory]])="", R274, PROPER(TRIM(sales_dataset[[#This Row],[ProductCategory]])))</f>
        <v>Home</v>
      </c>
      <c r="T256" s="1" t="s">
        <v>76</v>
      </c>
      <c r="V256">
        <v>5</v>
      </c>
      <c r="W256" t="str">
        <f>IF(TRIM(sales_dataset[[#This Row],[Quantity]])="",V262,PROPER(TRIM(sales_dataset[[#This Row],[Quantity]])))</f>
        <v>5</v>
      </c>
      <c r="Z256">
        <f>IF(TRIM(sales_dataset[[#This Row],[UnitPrice]])="",Y258,PROPER(TRIM(sales_dataset[[#This Row],[UnitPrice]])))</f>
        <v>-100</v>
      </c>
      <c r="AC256" s="1">
        <f>IF(TRIM(sales_dataset[[#This Row],[TotalRevenue]])="",AB258,PROPER(TRIM(sales_dataset[[#This Row],[TotalRevenue]])))</f>
        <v>0</v>
      </c>
      <c r="AD256" s="1">
        <f>ABS(sales_dataset[[#This Row],[Column5]])</f>
        <v>0</v>
      </c>
      <c r="AE256" s="1">
        <f>sales_dataset[[#This Row],[Column17]]*sales_dataset[[#This Row],[Column16]]</f>
        <v>0</v>
      </c>
    </row>
    <row r="257" spans="3:31" x14ac:dyDescent="0.3">
      <c r="C257" s="1" t="s">
        <v>43</v>
      </c>
      <c r="F257" s="1" t="s">
        <v>53</v>
      </c>
      <c r="H257" s="1" t="s">
        <v>147</v>
      </c>
      <c r="J257" s="1" t="s">
        <v>46</v>
      </c>
      <c r="K257" s="1" t="str">
        <f>IF(TRIM(sales_dataset[[#This Row],[Region]])="", J259, PROPER(TRIM(sales_dataset[[#This Row],[Region]])))</f>
        <v>North</v>
      </c>
      <c r="N257" s="1" t="s">
        <v>30</v>
      </c>
      <c r="Q257" s="1" t="s">
        <v>82</v>
      </c>
      <c r="R257" s="1" t="str">
        <f>IF(TRIM(sales_dataset[[#This Row],[ProductCategory]])="", R275, PROPER(TRIM(sales_dataset[[#This Row],[ProductCategory]])))</f>
        <v>Electronics</v>
      </c>
      <c r="T257" s="1" t="s">
        <v>95</v>
      </c>
      <c r="V257">
        <v>3</v>
      </c>
      <c r="W257" t="str">
        <f>IF(TRIM(sales_dataset[[#This Row],[Quantity]])="",V263,PROPER(TRIM(sales_dataset[[#This Row],[Quantity]])))</f>
        <v>3</v>
      </c>
      <c r="Y257">
        <v>-100</v>
      </c>
      <c r="Z257" t="str">
        <f>IF(TRIM(sales_dataset[[#This Row],[UnitPrice]])="",Y259,PROPER(TRIM(sales_dataset[[#This Row],[UnitPrice]])))</f>
        <v>-100</v>
      </c>
      <c r="AB257">
        <v>-300</v>
      </c>
      <c r="AC257" s="1" t="str">
        <f>IF(TRIM(sales_dataset[[#This Row],[TotalRevenue]])="",AB259,PROPER(TRIM(sales_dataset[[#This Row],[TotalRevenue]])))</f>
        <v>-300</v>
      </c>
      <c r="AD257" s="1">
        <f>ABS(sales_dataset[[#This Row],[Column5]])</f>
        <v>300</v>
      </c>
      <c r="AE257" s="1">
        <f>sales_dataset[[#This Row],[Column17]]*sales_dataset[[#This Row],[Column16]]</f>
        <v>0</v>
      </c>
    </row>
    <row r="258" spans="3:31" x14ac:dyDescent="0.3">
      <c r="C258" s="1" t="s">
        <v>51</v>
      </c>
      <c r="F258" s="1" t="s">
        <v>60</v>
      </c>
      <c r="H258" s="1" t="s">
        <v>45</v>
      </c>
      <c r="J258" s="1" t="s">
        <v>66</v>
      </c>
      <c r="K258" s="1" t="str">
        <f>IF(TRIM(sales_dataset[[#This Row],[Region]])="", J260, PROPER(TRIM(sales_dataset[[#This Row],[Region]])))</f>
        <v>West</v>
      </c>
      <c r="N258" s="1" t="s">
        <v>48</v>
      </c>
      <c r="Q258" s="1" t="s">
        <v>82</v>
      </c>
      <c r="R258" s="1" t="str">
        <f>IF(TRIM(sales_dataset[[#This Row],[ProductCategory]])="", R276, PROPER(TRIM(sales_dataset[[#This Row],[ProductCategory]])))</f>
        <v>Electronics</v>
      </c>
      <c r="T258" s="1" t="s">
        <v>87</v>
      </c>
      <c r="W258">
        <f>IF(TRIM(sales_dataset[[#This Row],[Quantity]])="",V264,PROPER(TRIM(sales_dataset[[#This Row],[Quantity]])))</f>
        <v>1</v>
      </c>
      <c r="Y258">
        <v>-100</v>
      </c>
      <c r="Z258" t="str">
        <f>IF(TRIM(sales_dataset[[#This Row],[UnitPrice]])="",Y260,PROPER(TRIM(sales_dataset[[#This Row],[UnitPrice]])))</f>
        <v>-100</v>
      </c>
      <c r="AC258" s="1">
        <f>IF(TRIM(sales_dataset[[#This Row],[TotalRevenue]])="",AB260,PROPER(TRIM(sales_dataset[[#This Row],[TotalRevenue]])))</f>
        <v>-150</v>
      </c>
      <c r="AD258" s="1">
        <f>ABS(sales_dataset[[#This Row],[Column5]])</f>
        <v>150</v>
      </c>
      <c r="AE258" s="1">
        <f>sales_dataset[[#This Row],[Column17]]*sales_dataset[[#This Row],[Column16]]</f>
        <v>0</v>
      </c>
    </row>
    <row r="259" spans="3:31" x14ac:dyDescent="0.3">
      <c r="C259" s="1" t="s">
        <v>19</v>
      </c>
      <c r="F259" s="1" t="s">
        <v>19</v>
      </c>
      <c r="H259" s="1" t="s">
        <v>73</v>
      </c>
      <c r="J259" s="1" t="s">
        <v>37</v>
      </c>
      <c r="K259" s="1" t="str">
        <f>IF(TRIM(sales_dataset[[#This Row],[Region]])="", J261, PROPER(TRIM(sales_dataset[[#This Row],[Region]])))</f>
        <v>North</v>
      </c>
      <c r="N259" s="1" t="s">
        <v>19</v>
      </c>
      <c r="Q259" s="1" t="s">
        <v>63</v>
      </c>
      <c r="R259" s="1" t="str">
        <f>IF(TRIM(sales_dataset[[#This Row],[ProductCategory]])="", R277, PROPER(TRIM(sales_dataset[[#This Row],[ProductCategory]])))</f>
        <v>Clothing</v>
      </c>
      <c r="T259" s="1" t="s">
        <v>23</v>
      </c>
      <c r="V259">
        <v>1</v>
      </c>
      <c r="W259" t="str">
        <f>IF(TRIM(sales_dataset[[#This Row],[Quantity]])="",V265,PROPER(TRIM(sales_dataset[[#This Row],[Quantity]])))</f>
        <v>1</v>
      </c>
      <c r="Y259">
        <v>2500</v>
      </c>
      <c r="Z259" t="str">
        <f>IF(TRIM(sales_dataset[[#This Row],[UnitPrice]])="",Y261,PROPER(TRIM(sales_dataset[[#This Row],[UnitPrice]])))</f>
        <v>2500</v>
      </c>
      <c r="AB259">
        <v>2500</v>
      </c>
      <c r="AC259" s="1" t="str">
        <f>IF(TRIM(sales_dataset[[#This Row],[TotalRevenue]])="",AB261,PROPER(TRIM(sales_dataset[[#This Row],[TotalRevenue]])))</f>
        <v>2500</v>
      </c>
      <c r="AD259" s="1">
        <f>ABS(sales_dataset[[#This Row],[Column5]])</f>
        <v>2500</v>
      </c>
      <c r="AE259" s="1">
        <f>sales_dataset[[#This Row],[Column17]]*sales_dataset[[#This Row],[Column16]]</f>
        <v>0</v>
      </c>
    </row>
    <row r="260" spans="3:31" x14ac:dyDescent="0.3">
      <c r="C260" s="1" t="s">
        <v>16</v>
      </c>
      <c r="F260" s="1" t="s">
        <v>27</v>
      </c>
      <c r="H260" s="1" t="s">
        <v>73</v>
      </c>
      <c r="J260" s="1" t="s">
        <v>98</v>
      </c>
      <c r="K260" s="1" t="str">
        <f>IF(TRIM(sales_dataset[[#This Row],[Region]])="", J262, PROPER(TRIM(sales_dataset[[#This Row],[Region]])))</f>
        <v>South</v>
      </c>
      <c r="N260" s="1" t="s">
        <v>21</v>
      </c>
      <c r="Q260" s="1" t="s">
        <v>41</v>
      </c>
      <c r="R260" s="1" t="str">
        <f>IF(TRIM(sales_dataset[[#This Row],[ProductCategory]])="", R278, PROPER(TRIM(sales_dataset[[#This Row],[ProductCategory]])))</f>
        <v>Home</v>
      </c>
      <c r="T260" s="1" t="s">
        <v>69</v>
      </c>
      <c r="V260">
        <v>3</v>
      </c>
      <c r="W260" t="str">
        <f>IF(TRIM(sales_dataset[[#This Row],[Quantity]])="",V266,PROPER(TRIM(sales_dataset[[#This Row],[Quantity]])))</f>
        <v>3</v>
      </c>
      <c r="Y260">
        <v>-100</v>
      </c>
      <c r="Z260" t="str">
        <f>IF(TRIM(sales_dataset[[#This Row],[UnitPrice]])="",Y262,PROPER(TRIM(sales_dataset[[#This Row],[UnitPrice]])))</f>
        <v>-100</v>
      </c>
      <c r="AB260">
        <v>-150</v>
      </c>
      <c r="AC260" s="1" t="str">
        <f>IF(TRIM(sales_dataset[[#This Row],[TotalRevenue]])="",AB262,PROPER(TRIM(sales_dataset[[#This Row],[TotalRevenue]])))</f>
        <v>-150</v>
      </c>
      <c r="AD260" s="1">
        <f>ABS(sales_dataset[[#This Row],[Column5]])</f>
        <v>150</v>
      </c>
      <c r="AE260" s="1">
        <f>sales_dataset[[#This Row],[Column17]]*sales_dataset[[#This Row],[Column16]]</f>
        <v>0</v>
      </c>
    </row>
    <row r="261" spans="3:31" x14ac:dyDescent="0.3">
      <c r="C261" s="1" t="s">
        <v>25</v>
      </c>
      <c r="F261" s="1" t="s">
        <v>18</v>
      </c>
      <c r="H261" s="1" t="s">
        <v>28</v>
      </c>
      <c r="J261" s="1" t="s">
        <v>37</v>
      </c>
      <c r="K261" s="1" t="str">
        <f>IF(TRIM(sales_dataset[[#This Row],[Region]])="", J263, PROPER(TRIM(sales_dataset[[#This Row],[Region]])))</f>
        <v>North</v>
      </c>
      <c r="N261" s="1" t="s">
        <v>48</v>
      </c>
      <c r="Q261" s="1" t="s">
        <v>19</v>
      </c>
      <c r="R261" s="1" t="str">
        <f>IF(TRIM(sales_dataset[[#This Row],[ProductCategory]])="", R279, PROPER(TRIM(sales_dataset[[#This Row],[ProductCategory]])))</f>
        <v>Electronics</v>
      </c>
      <c r="T261" s="1" t="s">
        <v>76</v>
      </c>
      <c r="V261">
        <v>-1</v>
      </c>
      <c r="W261" t="str">
        <f>IF(TRIM(sales_dataset[[#This Row],[Quantity]])="",V267,PROPER(TRIM(sales_dataset[[#This Row],[Quantity]])))</f>
        <v>-1</v>
      </c>
      <c r="Y261">
        <v>500</v>
      </c>
      <c r="Z261" t="str">
        <f>IF(TRIM(sales_dataset[[#This Row],[UnitPrice]])="",Y263,PROPER(TRIM(sales_dataset[[#This Row],[UnitPrice]])))</f>
        <v>500</v>
      </c>
      <c r="AB261">
        <v>-500</v>
      </c>
      <c r="AC261" s="1" t="str">
        <f>IF(TRIM(sales_dataset[[#This Row],[TotalRevenue]])="",AB263,PROPER(TRIM(sales_dataset[[#This Row],[TotalRevenue]])))</f>
        <v>-500</v>
      </c>
      <c r="AD261" s="1">
        <f>ABS(sales_dataset[[#This Row],[Column5]])</f>
        <v>500</v>
      </c>
      <c r="AE261" s="1">
        <f>sales_dataset[[#This Row],[Column17]]*sales_dataset[[#This Row],[Column16]]</f>
        <v>0</v>
      </c>
    </row>
    <row r="262" spans="3:31" x14ac:dyDescent="0.3">
      <c r="C262" s="1" t="s">
        <v>35</v>
      </c>
      <c r="F262" s="1" t="s">
        <v>53</v>
      </c>
      <c r="H262" s="1" t="s">
        <v>54</v>
      </c>
      <c r="J262" s="1" t="s">
        <v>80</v>
      </c>
      <c r="K262" s="1" t="str">
        <f>IF(TRIM(sales_dataset[[#This Row],[Region]])="", J264, PROPER(TRIM(sales_dataset[[#This Row],[Region]])))</f>
        <v>East</v>
      </c>
      <c r="N262" s="1" t="s">
        <v>21</v>
      </c>
      <c r="Q262" s="1" t="s">
        <v>82</v>
      </c>
      <c r="R262" s="1" t="str">
        <f>IF(TRIM(sales_dataset[[#This Row],[ProductCategory]])="", R280, PROPER(TRIM(sales_dataset[[#This Row],[ProductCategory]])))</f>
        <v>Electronics</v>
      </c>
      <c r="T262" s="1" t="s">
        <v>69</v>
      </c>
      <c r="V262">
        <v>3</v>
      </c>
      <c r="W262" t="str">
        <f>IF(TRIM(sales_dataset[[#This Row],[Quantity]])="",V268,PROPER(TRIM(sales_dataset[[#This Row],[Quantity]])))</f>
        <v>3</v>
      </c>
      <c r="Y262">
        <v>-100</v>
      </c>
      <c r="Z262" t="str">
        <f>IF(TRIM(sales_dataset[[#This Row],[UnitPrice]])="",Y264,PROPER(TRIM(sales_dataset[[#This Row],[UnitPrice]])))</f>
        <v>-100</v>
      </c>
      <c r="AB262">
        <v>-150</v>
      </c>
      <c r="AC262" s="1" t="str">
        <f>IF(TRIM(sales_dataset[[#This Row],[TotalRevenue]])="",AB264,PROPER(TRIM(sales_dataset[[#This Row],[TotalRevenue]])))</f>
        <v>-150</v>
      </c>
      <c r="AD262" s="1">
        <f>ABS(sales_dataset[[#This Row],[Column5]])</f>
        <v>150</v>
      </c>
      <c r="AE262" s="1">
        <f>sales_dataset[[#This Row],[Column17]]*sales_dataset[[#This Row],[Column16]]</f>
        <v>0</v>
      </c>
    </row>
    <row r="263" spans="3:31" x14ac:dyDescent="0.3">
      <c r="C263" s="1" t="s">
        <v>43</v>
      </c>
      <c r="F263" s="1" t="s">
        <v>118</v>
      </c>
      <c r="H263" s="1" t="s">
        <v>28</v>
      </c>
      <c r="J263" s="1" t="s">
        <v>80</v>
      </c>
      <c r="K263" s="1" t="str">
        <f>IF(TRIM(sales_dataset[[#This Row],[Region]])="", J265, PROPER(TRIM(sales_dataset[[#This Row],[Region]])))</f>
        <v>East</v>
      </c>
      <c r="N263" s="1" t="s">
        <v>30</v>
      </c>
      <c r="Q263" s="1" t="s">
        <v>63</v>
      </c>
      <c r="R263" s="1" t="str">
        <f>IF(TRIM(sales_dataset[[#This Row],[ProductCategory]])="", R281, PROPER(TRIM(sales_dataset[[#This Row],[ProductCategory]])))</f>
        <v>Clothing</v>
      </c>
      <c r="T263" s="1" t="s">
        <v>19</v>
      </c>
      <c r="V263">
        <v>2</v>
      </c>
      <c r="W263" t="str">
        <f>IF(TRIM(sales_dataset[[#This Row],[Quantity]])="",V269,PROPER(TRIM(sales_dataset[[#This Row],[Quantity]])))</f>
        <v>2</v>
      </c>
      <c r="Y263">
        <v>-100</v>
      </c>
      <c r="Z263" t="str">
        <f>IF(TRIM(sales_dataset[[#This Row],[UnitPrice]])="",Y265,PROPER(TRIM(sales_dataset[[#This Row],[UnitPrice]])))</f>
        <v>-100</v>
      </c>
      <c r="AB263">
        <v>-100</v>
      </c>
      <c r="AC263" s="1" t="str">
        <f>IF(TRIM(sales_dataset[[#This Row],[TotalRevenue]])="",AB265,PROPER(TRIM(sales_dataset[[#This Row],[TotalRevenue]])))</f>
        <v>-100</v>
      </c>
      <c r="AD263" s="1">
        <f>ABS(sales_dataset[[#This Row],[Column5]])</f>
        <v>100</v>
      </c>
      <c r="AE263" s="1">
        <f>sales_dataset[[#This Row],[Column17]]*sales_dataset[[#This Row],[Column16]]</f>
        <v>0</v>
      </c>
    </row>
    <row r="264" spans="3:31" x14ac:dyDescent="0.3">
      <c r="C264" s="1" t="s">
        <v>51</v>
      </c>
      <c r="F264" s="1" t="s">
        <v>72</v>
      </c>
      <c r="H264" s="1" t="s">
        <v>19</v>
      </c>
      <c r="J264" s="1" t="s">
        <v>46</v>
      </c>
      <c r="K264" s="1" t="str">
        <f>IF(TRIM(sales_dataset[[#This Row],[Region]])="", J266, PROPER(TRIM(sales_dataset[[#This Row],[Region]])))</f>
        <v>North</v>
      </c>
      <c r="N264" s="1" t="s">
        <v>48</v>
      </c>
      <c r="Q264" s="1" t="s">
        <v>41</v>
      </c>
      <c r="R264" s="1" t="str">
        <f>IF(TRIM(sales_dataset[[#This Row],[ProductCategory]])="", R282, PROPER(TRIM(sales_dataset[[#This Row],[ProductCategory]])))</f>
        <v>Home</v>
      </c>
      <c r="T264" s="1" t="s">
        <v>76</v>
      </c>
      <c r="V264">
        <v>1</v>
      </c>
      <c r="W264" t="str">
        <f>IF(TRIM(sales_dataset[[#This Row],[Quantity]])="",V270,PROPER(TRIM(sales_dataset[[#This Row],[Quantity]])))</f>
        <v>1</v>
      </c>
      <c r="Y264">
        <v>1500</v>
      </c>
      <c r="Z264" t="str">
        <f>IF(TRIM(sales_dataset[[#This Row],[UnitPrice]])="",Y266,PROPER(TRIM(sales_dataset[[#This Row],[UnitPrice]])))</f>
        <v>1500</v>
      </c>
      <c r="AB264">
        <v>1500</v>
      </c>
      <c r="AC264" s="1" t="str">
        <f>IF(TRIM(sales_dataset[[#This Row],[TotalRevenue]])="",AB266,PROPER(TRIM(sales_dataset[[#This Row],[TotalRevenue]])))</f>
        <v>1500</v>
      </c>
      <c r="AD264" s="1">
        <f>ABS(sales_dataset[[#This Row],[Column5]])</f>
        <v>1500</v>
      </c>
      <c r="AE264" s="1">
        <f>sales_dataset[[#This Row],[Column17]]*sales_dataset[[#This Row],[Column16]]</f>
        <v>0</v>
      </c>
    </row>
    <row r="265" spans="3:31" x14ac:dyDescent="0.3">
      <c r="C265" s="1" t="s">
        <v>19</v>
      </c>
      <c r="F265" s="1" t="s">
        <v>60</v>
      </c>
      <c r="H265" s="1" t="s">
        <v>28</v>
      </c>
      <c r="J265" s="1" t="s">
        <v>46</v>
      </c>
      <c r="K265" s="1" t="str">
        <f>IF(TRIM(sales_dataset[[#This Row],[Region]])="", J267, PROPER(TRIM(sales_dataset[[#This Row],[Region]])))</f>
        <v>North</v>
      </c>
      <c r="N265" s="1" t="s">
        <v>19</v>
      </c>
      <c r="Q265" s="1" t="s">
        <v>63</v>
      </c>
      <c r="R265" s="1" t="str">
        <f>IF(TRIM(sales_dataset[[#This Row],[ProductCategory]])="", R283, PROPER(TRIM(sales_dataset[[#This Row],[ProductCategory]])))</f>
        <v>Clothing</v>
      </c>
      <c r="T265" s="1" t="s">
        <v>87</v>
      </c>
      <c r="V265">
        <v>4</v>
      </c>
      <c r="W265" t="str">
        <f>IF(TRIM(sales_dataset[[#This Row],[Quantity]])="",V271,PROPER(TRIM(sales_dataset[[#This Row],[Quantity]])))</f>
        <v>4</v>
      </c>
      <c r="Y265">
        <v>500</v>
      </c>
      <c r="Z265" t="str">
        <f>IF(TRIM(sales_dataset[[#This Row],[UnitPrice]])="",Y267,PROPER(TRIM(sales_dataset[[#This Row],[UnitPrice]])))</f>
        <v>500</v>
      </c>
      <c r="AB265">
        <v>2000</v>
      </c>
      <c r="AC265" s="1" t="str">
        <f>IF(TRIM(sales_dataset[[#This Row],[TotalRevenue]])="",AB267,PROPER(TRIM(sales_dataset[[#This Row],[TotalRevenue]])))</f>
        <v>2000</v>
      </c>
      <c r="AD265" s="1">
        <f>ABS(sales_dataset[[#This Row],[Column5]])</f>
        <v>2000</v>
      </c>
      <c r="AE265" s="1">
        <f>sales_dataset[[#This Row],[Column17]]*sales_dataset[[#This Row],[Column16]]</f>
        <v>0</v>
      </c>
    </row>
    <row r="266" spans="3:31" x14ac:dyDescent="0.3">
      <c r="C266" s="1" t="s">
        <v>16</v>
      </c>
      <c r="F266" s="1" t="s">
        <v>27</v>
      </c>
      <c r="H266" s="1" t="s">
        <v>19</v>
      </c>
      <c r="J266" s="1" t="s">
        <v>80</v>
      </c>
      <c r="K266" s="1" t="str">
        <f>IF(TRIM(sales_dataset[[#This Row],[Region]])="", J268, PROPER(TRIM(sales_dataset[[#This Row],[Region]])))</f>
        <v>East</v>
      </c>
      <c r="N266" s="1" t="s">
        <v>19</v>
      </c>
      <c r="Q266" s="1" t="s">
        <v>82</v>
      </c>
      <c r="R266" s="1" t="str">
        <f>IF(TRIM(sales_dataset[[#This Row],[ProductCategory]])="", R284, PROPER(TRIM(sales_dataset[[#This Row],[ProductCategory]])))</f>
        <v>Electronics</v>
      </c>
      <c r="T266" s="1" t="s">
        <v>76</v>
      </c>
      <c r="V266">
        <v>4</v>
      </c>
      <c r="W266" t="str">
        <f>IF(TRIM(sales_dataset[[#This Row],[Quantity]])="",V272,PROPER(TRIM(sales_dataset[[#This Row],[Quantity]])))</f>
        <v>4</v>
      </c>
      <c r="Y266">
        <v>2500</v>
      </c>
      <c r="Z266" t="str">
        <f>IF(TRIM(sales_dataset[[#This Row],[UnitPrice]])="",Y268,PROPER(TRIM(sales_dataset[[#This Row],[UnitPrice]])))</f>
        <v>2500</v>
      </c>
      <c r="AB266">
        <v>10000</v>
      </c>
      <c r="AC266" s="1" t="str">
        <f>IF(TRIM(sales_dataset[[#This Row],[TotalRevenue]])="",AB268,PROPER(TRIM(sales_dataset[[#This Row],[TotalRevenue]])))</f>
        <v>10000</v>
      </c>
      <c r="AD266" s="1">
        <f>ABS(sales_dataset[[#This Row],[Column5]])</f>
        <v>10000</v>
      </c>
      <c r="AE266" s="1">
        <f>sales_dataset[[#This Row],[Column17]]*sales_dataset[[#This Row],[Column16]]</f>
        <v>0</v>
      </c>
    </row>
    <row r="267" spans="3:31" x14ac:dyDescent="0.3">
      <c r="C267" s="1" t="s">
        <v>25</v>
      </c>
      <c r="F267" s="1" t="s">
        <v>18</v>
      </c>
      <c r="H267" s="1" t="s">
        <v>54</v>
      </c>
      <c r="J267" s="1" t="s">
        <v>19</v>
      </c>
      <c r="K267" s="1" t="str">
        <f>IF(TRIM(sales_dataset[[#This Row],[Region]])="", J269, PROPER(TRIM(sales_dataset[[#This Row],[Region]])))</f>
        <v>East</v>
      </c>
      <c r="N267" s="1" t="s">
        <v>56</v>
      </c>
      <c r="Q267" s="1" t="s">
        <v>63</v>
      </c>
      <c r="R267" s="1" t="str">
        <f>IF(TRIM(sales_dataset[[#This Row],[ProductCategory]])="", R285, PROPER(TRIM(sales_dataset[[#This Row],[ProductCategory]])))</f>
        <v>Clothing</v>
      </c>
      <c r="T267" s="1" t="s">
        <v>19</v>
      </c>
      <c r="V267">
        <v>4</v>
      </c>
      <c r="W267" t="str">
        <f>IF(TRIM(sales_dataset[[#This Row],[Quantity]])="",V273,PROPER(TRIM(sales_dataset[[#This Row],[Quantity]])))</f>
        <v>4</v>
      </c>
      <c r="Y267">
        <v>-100</v>
      </c>
      <c r="Z267" t="str">
        <f>IF(TRIM(sales_dataset[[#This Row],[UnitPrice]])="",Y269,PROPER(TRIM(sales_dataset[[#This Row],[UnitPrice]])))</f>
        <v>-100</v>
      </c>
      <c r="AB267">
        <v>-400</v>
      </c>
      <c r="AC267" s="1" t="str">
        <f>IF(TRIM(sales_dataset[[#This Row],[TotalRevenue]])="",AB269,PROPER(TRIM(sales_dataset[[#This Row],[TotalRevenue]])))</f>
        <v>-400</v>
      </c>
      <c r="AD267" s="1">
        <f>ABS(sales_dataset[[#This Row],[Column5]])</f>
        <v>400</v>
      </c>
      <c r="AE267" s="1">
        <f>sales_dataset[[#This Row],[Column17]]*sales_dataset[[#This Row],[Column16]]</f>
        <v>0</v>
      </c>
    </row>
    <row r="268" spans="3:31" x14ac:dyDescent="0.3">
      <c r="C268" s="1" t="s">
        <v>35</v>
      </c>
      <c r="F268" s="1" t="s">
        <v>118</v>
      </c>
      <c r="H268" s="1" t="s">
        <v>54</v>
      </c>
      <c r="J268" s="1" t="s">
        <v>80</v>
      </c>
      <c r="K268" s="1" t="str">
        <f>IF(TRIM(sales_dataset[[#This Row],[Region]])="", J270, PROPER(TRIM(sales_dataset[[#This Row],[Region]])))</f>
        <v>East</v>
      </c>
      <c r="N268" s="1" t="s">
        <v>39</v>
      </c>
      <c r="Q268" s="1" t="s">
        <v>41</v>
      </c>
      <c r="R268" s="1" t="str">
        <f>IF(TRIM(sales_dataset[[#This Row],[ProductCategory]])="", R286, PROPER(TRIM(sales_dataset[[#This Row],[ProductCategory]])))</f>
        <v>Home</v>
      </c>
      <c r="T268" s="1" t="s">
        <v>95</v>
      </c>
      <c r="V268">
        <v>3</v>
      </c>
      <c r="W268" t="str">
        <f>IF(TRIM(sales_dataset[[#This Row],[Quantity]])="",V274,PROPER(TRIM(sales_dataset[[#This Row],[Quantity]])))</f>
        <v>3</v>
      </c>
      <c r="Y268">
        <v>2000</v>
      </c>
      <c r="Z268" t="str">
        <f>IF(TRIM(sales_dataset[[#This Row],[UnitPrice]])="",Y270,PROPER(TRIM(sales_dataset[[#This Row],[UnitPrice]])))</f>
        <v>2000</v>
      </c>
      <c r="AB268">
        <v>6000</v>
      </c>
      <c r="AC268" s="1" t="str">
        <f>IF(TRIM(sales_dataset[[#This Row],[TotalRevenue]])="",AB270,PROPER(TRIM(sales_dataset[[#This Row],[TotalRevenue]])))</f>
        <v>6000</v>
      </c>
      <c r="AD268" s="1">
        <f>ABS(sales_dataset[[#This Row],[Column5]])</f>
        <v>6000</v>
      </c>
      <c r="AE268" s="1">
        <f>sales_dataset[[#This Row],[Column17]]*sales_dataset[[#This Row],[Column16]]</f>
        <v>0</v>
      </c>
    </row>
    <row r="269" spans="3:31" x14ac:dyDescent="0.3">
      <c r="C269" s="1" t="s">
        <v>43</v>
      </c>
      <c r="F269" s="1" t="s">
        <v>18</v>
      </c>
      <c r="H269" s="1" t="s">
        <v>54</v>
      </c>
      <c r="J269" s="1" t="s">
        <v>80</v>
      </c>
      <c r="K269" s="1" t="str">
        <f>IF(TRIM(sales_dataset[[#This Row],[Region]])="", J271, PROPER(TRIM(sales_dataset[[#This Row],[Region]])))</f>
        <v>East</v>
      </c>
      <c r="N269" s="1" t="s">
        <v>30</v>
      </c>
      <c r="Q269" s="1" t="s">
        <v>32</v>
      </c>
      <c r="R269" s="1" t="str">
        <f>IF(TRIM(sales_dataset[[#This Row],[ProductCategory]])="", R287, PROPER(TRIM(sales_dataset[[#This Row],[ProductCategory]])))</f>
        <v>Electronics</v>
      </c>
      <c r="T269" s="1" t="s">
        <v>19</v>
      </c>
      <c r="V269">
        <v>-1</v>
      </c>
      <c r="W269" t="str">
        <f>IF(TRIM(sales_dataset[[#This Row],[Quantity]])="",V275,PROPER(TRIM(sales_dataset[[#This Row],[Quantity]])))</f>
        <v>-1</v>
      </c>
      <c r="Y269">
        <v>500</v>
      </c>
      <c r="Z269" t="str">
        <f>IF(TRIM(sales_dataset[[#This Row],[UnitPrice]])="",Y271,PROPER(TRIM(sales_dataset[[#This Row],[UnitPrice]])))</f>
        <v>500</v>
      </c>
      <c r="AB269">
        <v>-500</v>
      </c>
      <c r="AC269" s="1" t="str">
        <f>IF(TRIM(sales_dataset[[#This Row],[TotalRevenue]])="",AB271,PROPER(TRIM(sales_dataset[[#This Row],[TotalRevenue]])))</f>
        <v>-500</v>
      </c>
      <c r="AD269" s="1">
        <f>ABS(sales_dataset[[#This Row],[Column5]])</f>
        <v>500</v>
      </c>
      <c r="AE269" s="1">
        <f>sales_dataset[[#This Row],[Column17]]*sales_dataset[[#This Row],[Column16]]</f>
        <v>0</v>
      </c>
    </row>
    <row r="270" spans="3:31" x14ac:dyDescent="0.3">
      <c r="C270" s="1" t="s">
        <v>51</v>
      </c>
      <c r="F270" s="1" t="s">
        <v>53</v>
      </c>
      <c r="H270" s="1" t="s">
        <v>73</v>
      </c>
      <c r="J270" s="1" t="s">
        <v>66</v>
      </c>
      <c r="K270" s="1" t="str">
        <f>IF(TRIM(sales_dataset[[#This Row],[Region]])="", J272, PROPER(TRIM(sales_dataset[[#This Row],[Region]])))</f>
        <v>West</v>
      </c>
      <c r="N270" s="1" t="s">
        <v>30</v>
      </c>
      <c r="Q270" s="1" t="s">
        <v>19</v>
      </c>
      <c r="R270" s="1" t="str">
        <f>IF(TRIM(sales_dataset[[#This Row],[ProductCategory]])="", R288, PROPER(TRIM(sales_dataset[[#This Row],[ProductCategory]])))</f>
        <v>Clothing</v>
      </c>
      <c r="T270" s="1" t="s">
        <v>33</v>
      </c>
      <c r="V270">
        <v>4</v>
      </c>
      <c r="W270" t="str">
        <f>IF(TRIM(sales_dataset[[#This Row],[Quantity]])="",V276,PROPER(TRIM(sales_dataset[[#This Row],[Quantity]])))</f>
        <v>4</v>
      </c>
      <c r="Y270">
        <v>500</v>
      </c>
      <c r="Z270" t="str">
        <f>IF(TRIM(sales_dataset[[#This Row],[UnitPrice]])="",Y272,PROPER(TRIM(sales_dataset[[#This Row],[UnitPrice]])))</f>
        <v>500</v>
      </c>
      <c r="AB270">
        <v>2000</v>
      </c>
      <c r="AC270" s="1" t="str">
        <f>IF(TRIM(sales_dataset[[#This Row],[TotalRevenue]])="",AB272,PROPER(TRIM(sales_dataset[[#This Row],[TotalRevenue]])))</f>
        <v>2000</v>
      </c>
      <c r="AD270" s="1">
        <f>ABS(sales_dataset[[#This Row],[Column5]])</f>
        <v>2000</v>
      </c>
      <c r="AE270" s="1">
        <f>sales_dataset[[#This Row],[Column17]]*sales_dataset[[#This Row],[Column16]]</f>
        <v>0</v>
      </c>
    </row>
    <row r="271" spans="3:31" x14ac:dyDescent="0.3">
      <c r="C271" s="1" t="s">
        <v>19</v>
      </c>
      <c r="F271" s="1" t="s">
        <v>27</v>
      </c>
      <c r="H271" s="1" t="s">
        <v>73</v>
      </c>
      <c r="J271" s="1" t="s">
        <v>37</v>
      </c>
      <c r="K271" s="1" t="str">
        <f>IF(TRIM(sales_dataset[[#This Row],[Region]])="", J273, PROPER(TRIM(sales_dataset[[#This Row],[Region]])))</f>
        <v>North</v>
      </c>
      <c r="N271" s="1" t="s">
        <v>48</v>
      </c>
      <c r="Q271" s="1" t="s">
        <v>82</v>
      </c>
      <c r="R271" s="1" t="str">
        <f>IF(TRIM(sales_dataset[[#This Row],[ProductCategory]])="", R289, PROPER(TRIM(sales_dataset[[#This Row],[ProductCategory]])))</f>
        <v>Electronics</v>
      </c>
      <c r="T271" s="1" t="s">
        <v>19</v>
      </c>
      <c r="W271">
        <f>IF(TRIM(sales_dataset[[#This Row],[Quantity]])="",V277,PROPER(TRIM(sales_dataset[[#This Row],[Quantity]])))</f>
        <v>-1</v>
      </c>
      <c r="Y271">
        <v>500</v>
      </c>
      <c r="Z271" t="str">
        <f>IF(TRIM(sales_dataset[[#This Row],[UnitPrice]])="",Y273,PROPER(TRIM(sales_dataset[[#This Row],[UnitPrice]])))</f>
        <v>500</v>
      </c>
      <c r="AC271" s="1">
        <f>IF(TRIM(sales_dataset[[#This Row],[TotalRevenue]])="",AB273,PROPER(TRIM(sales_dataset[[#This Row],[TotalRevenue]])))</f>
        <v>6000</v>
      </c>
      <c r="AD271" s="1">
        <f>ABS(sales_dataset[[#This Row],[Column5]])</f>
        <v>6000</v>
      </c>
      <c r="AE271" s="1">
        <f>sales_dataset[[#This Row],[Column17]]*sales_dataset[[#This Row],[Column16]]</f>
        <v>0</v>
      </c>
    </row>
    <row r="272" spans="3:31" x14ac:dyDescent="0.3">
      <c r="C272" s="1" t="s">
        <v>16</v>
      </c>
      <c r="F272" s="1" t="s">
        <v>53</v>
      </c>
      <c r="H272" s="1" t="s">
        <v>147</v>
      </c>
      <c r="J272" s="1" t="s">
        <v>19</v>
      </c>
      <c r="K272" s="1" t="str">
        <f>IF(TRIM(sales_dataset[[#This Row],[Region]])="", J274, PROPER(TRIM(sales_dataset[[#This Row],[Region]])))</f>
        <v>South</v>
      </c>
      <c r="N272" s="1" t="s">
        <v>39</v>
      </c>
      <c r="Q272" s="1" t="s">
        <v>41</v>
      </c>
      <c r="R272" s="1" t="str">
        <f>IF(TRIM(sales_dataset[[#This Row],[ProductCategory]])="", R290, PROPER(TRIM(sales_dataset[[#This Row],[ProductCategory]])))</f>
        <v>Home</v>
      </c>
      <c r="T272" s="1" t="s">
        <v>23</v>
      </c>
      <c r="V272">
        <v>-1</v>
      </c>
      <c r="W272" t="str">
        <f>IF(TRIM(sales_dataset[[#This Row],[Quantity]])="",V278,PROPER(TRIM(sales_dataset[[#This Row],[Quantity]])))</f>
        <v>-1</v>
      </c>
      <c r="Y272">
        <v>500</v>
      </c>
      <c r="Z272" t="str">
        <f>IF(TRIM(sales_dataset[[#This Row],[UnitPrice]])="",Y274,PROPER(TRIM(sales_dataset[[#This Row],[UnitPrice]])))</f>
        <v>500</v>
      </c>
      <c r="AB272">
        <v>-500</v>
      </c>
      <c r="AC272" s="1" t="str">
        <f>IF(TRIM(sales_dataset[[#This Row],[TotalRevenue]])="",AB274,PROPER(TRIM(sales_dataset[[#This Row],[TotalRevenue]])))</f>
        <v>-500</v>
      </c>
      <c r="AD272" s="1">
        <f>ABS(sales_dataset[[#This Row],[Column5]])</f>
        <v>500</v>
      </c>
      <c r="AE272" s="1">
        <f>sales_dataset[[#This Row],[Column17]]*sales_dataset[[#This Row],[Column16]]</f>
        <v>0</v>
      </c>
    </row>
    <row r="273" spans="3:31" x14ac:dyDescent="0.3">
      <c r="C273" s="1" t="s">
        <v>25</v>
      </c>
      <c r="F273" s="1" t="s">
        <v>18</v>
      </c>
      <c r="H273" s="1" t="s">
        <v>79</v>
      </c>
      <c r="J273" s="1" t="s">
        <v>66</v>
      </c>
      <c r="K273" s="1" t="str">
        <f>IF(TRIM(sales_dataset[[#This Row],[Region]])="", J275, PROPER(TRIM(sales_dataset[[#This Row],[Region]])))</f>
        <v>West</v>
      </c>
      <c r="N273" s="1" t="s">
        <v>39</v>
      </c>
      <c r="Q273" s="1" t="s">
        <v>41</v>
      </c>
      <c r="R273" s="1" t="str">
        <f>IF(TRIM(sales_dataset[[#This Row],[ProductCategory]])="", R291, PROPER(TRIM(sales_dataset[[#This Row],[ProductCategory]])))</f>
        <v>Home</v>
      </c>
      <c r="T273" s="1" t="s">
        <v>95</v>
      </c>
      <c r="V273">
        <v>4</v>
      </c>
      <c r="W273" t="str">
        <f>IF(TRIM(sales_dataset[[#This Row],[Quantity]])="",V279,PROPER(TRIM(sales_dataset[[#This Row],[Quantity]])))</f>
        <v>4</v>
      </c>
      <c r="Y273">
        <v>1500</v>
      </c>
      <c r="Z273" t="str">
        <f>IF(TRIM(sales_dataset[[#This Row],[UnitPrice]])="",Y275,PROPER(TRIM(sales_dataset[[#This Row],[UnitPrice]])))</f>
        <v>1500</v>
      </c>
      <c r="AB273">
        <v>6000</v>
      </c>
      <c r="AC273" s="1" t="str">
        <f>IF(TRIM(sales_dataset[[#This Row],[TotalRevenue]])="",AB275,PROPER(TRIM(sales_dataset[[#This Row],[TotalRevenue]])))</f>
        <v>6000</v>
      </c>
      <c r="AD273" s="1">
        <f>ABS(sales_dataset[[#This Row],[Column5]])</f>
        <v>6000</v>
      </c>
      <c r="AE273" s="1">
        <f>sales_dataset[[#This Row],[Column17]]*sales_dataset[[#This Row],[Column16]]</f>
        <v>0</v>
      </c>
    </row>
    <row r="274" spans="3:31" x14ac:dyDescent="0.3">
      <c r="C274" s="1" t="s">
        <v>35</v>
      </c>
      <c r="F274" s="1" t="s">
        <v>27</v>
      </c>
      <c r="H274" s="1" t="s">
        <v>147</v>
      </c>
      <c r="J274" s="1" t="s">
        <v>98</v>
      </c>
      <c r="K274" s="1" t="str">
        <f>IF(TRIM(sales_dataset[[#This Row],[Region]])="", J276, PROPER(TRIM(sales_dataset[[#This Row],[Region]])))</f>
        <v>South</v>
      </c>
      <c r="N274" s="1" t="s">
        <v>39</v>
      </c>
      <c r="Q274" s="1" t="s">
        <v>63</v>
      </c>
      <c r="R274" s="1" t="str">
        <f>IF(TRIM(sales_dataset[[#This Row],[ProductCategory]])="", R292, PROPER(TRIM(sales_dataset[[#This Row],[ProductCategory]])))</f>
        <v>Clothing</v>
      </c>
      <c r="T274" s="1" t="s">
        <v>19</v>
      </c>
      <c r="V274">
        <v>-1</v>
      </c>
      <c r="W274" t="str">
        <f>IF(TRIM(sales_dataset[[#This Row],[Quantity]])="",V280,PROPER(TRIM(sales_dataset[[#This Row],[Quantity]])))</f>
        <v>-1</v>
      </c>
      <c r="Y274">
        <v>2000</v>
      </c>
      <c r="Z274" t="str">
        <f>IF(TRIM(sales_dataset[[#This Row],[UnitPrice]])="",Y276,PROPER(TRIM(sales_dataset[[#This Row],[UnitPrice]])))</f>
        <v>2000</v>
      </c>
      <c r="AB274">
        <v>-2000</v>
      </c>
      <c r="AC274" s="1" t="str">
        <f>IF(TRIM(sales_dataset[[#This Row],[TotalRevenue]])="",AB276,PROPER(TRIM(sales_dataset[[#This Row],[TotalRevenue]])))</f>
        <v>-2000</v>
      </c>
      <c r="AD274" s="1">
        <f>ABS(sales_dataset[[#This Row],[Column5]])</f>
        <v>2000</v>
      </c>
      <c r="AE274" s="1">
        <f>sales_dataset[[#This Row],[Column17]]*sales_dataset[[#This Row],[Column16]]</f>
        <v>0</v>
      </c>
    </row>
    <row r="275" spans="3:31" x14ac:dyDescent="0.3">
      <c r="C275" s="1" t="s">
        <v>43</v>
      </c>
      <c r="F275" s="1" t="s">
        <v>19</v>
      </c>
      <c r="H275" s="1" t="s">
        <v>28</v>
      </c>
      <c r="J275" s="1" t="s">
        <v>19</v>
      </c>
      <c r="K275" s="1" t="str">
        <f>IF(TRIM(sales_dataset[[#This Row],[Region]])="", J277, PROPER(TRIM(sales_dataset[[#This Row],[Region]])))</f>
        <v>East</v>
      </c>
      <c r="N275" s="1" t="s">
        <v>48</v>
      </c>
      <c r="Q275" s="1" t="s">
        <v>82</v>
      </c>
      <c r="R275" s="1" t="str">
        <f>IF(TRIM(sales_dataset[[#This Row],[ProductCategory]])="", R293, PROPER(TRIM(sales_dataset[[#This Row],[ProductCategory]])))</f>
        <v>Electronics</v>
      </c>
      <c r="T275" s="1" t="s">
        <v>69</v>
      </c>
      <c r="V275">
        <v>4</v>
      </c>
      <c r="W275" t="str">
        <f>IF(TRIM(sales_dataset[[#This Row],[Quantity]])="",V281,PROPER(TRIM(sales_dataset[[#This Row],[Quantity]])))</f>
        <v>4</v>
      </c>
      <c r="Z275">
        <f>IF(TRIM(sales_dataset[[#This Row],[UnitPrice]])="",Y277,PROPER(TRIM(sales_dataset[[#This Row],[UnitPrice]])))</f>
        <v>0</v>
      </c>
      <c r="AC275" s="1">
        <f>IF(TRIM(sales_dataset[[#This Row],[TotalRevenue]])="",AB277,PROPER(TRIM(sales_dataset[[#This Row],[TotalRevenue]])))</f>
        <v>0</v>
      </c>
      <c r="AD275" s="1">
        <f>ABS(sales_dataset[[#This Row],[Column5]])</f>
        <v>0</v>
      </c>
      <c r="AE275" s="1">
        <f>sales_dataset[[#This Row],[Column17]]*sales_dataset[[#This Row],[Column16]]</f>
        <v>0</v>
      </c>
    </row>
    <row r="276" spans="3:31" x14ac:dyDescent="0.3">
      <c r="C276" s="1" t="s">
        <v>51</v>
      </c>
      <c r="F276" s="1" t="s">
        <v>18</v>
      </c>
      <c r="H276" s="1" t="s">
        <v>28</v>
      </c>
      <c r="J276" s="1" t="s">
        <v>66</v>
      </c>
      <c r="K276" s="1" t="str">
        <f>IF(TRIM(sales_dataset[[#This Row],[Region]])="", J278, PROPER(TRIM(sales_dataset[[#This Row],[Region]])))</f>
        <v>West</v>
      </c>
      <c r="N276" s="1" t="s">
        <v>48</v>
      </c>
      <c r="Q276" s="1" t="s">
        <v>32</v>
      </c>
      <c r="R276" s="1" t="str">
        <f>IF(TRIM(sales_dataset[[#This Row],[ProductCategory]])="", R294, PROPER(TRIM(sales_dataset[[#This Row],[ProductCategory]])))</f>
        <v>Electronics</v>
      </c>
      <c r="T276" s="1" t="s">
        <v>23</v>
      </c>
      <c r="W276">
        <f>IF(TRIM(sales_dataset[[#This Row],[Quantity]])="",V282,PROPER(TRIM(sales_dataset[[#This Row],[Quantity]])))</f>
        <v>0</v>
      </c>
      <c r="Y276">
        <v>500</v>
      </c>
      <c r="Z276" t="str">
        <f>IF(TRIM(sales_dataset[[#This Row],[UnitPrice]])="",Y278,PROPER(TRIM(sales_dataset[[#This Row],[UnitPrice]])))</f>
        <v>500</v>
      </c>
      <c r="AC276" s="1">
        <f>IF(TRIM(sales_dataset[[#This Row],[TotalRevenue]])="",AB278,PROPER(TRIM(sales_dataset[[#This Row],[TotalRevenue]])))</f>
        <v>3000</v>
      </c>
      <c r="AD276" s="1">
        <f>ABS(sales_dataset[[#This Row],[Column5]])</f>
        <v>3000</v>
      </c>
      <c r="AE276" s="1">
        <f>sales_dataset[[#This Row],[Column17]]*sales_dataset[[#This Row],[Column16]]</f>
        <v>0</v>
      </c>
    </row>
    <row r="277" spans="3:31" x14ac:dyDescent="0.3">
      <c r="C277" s="1" t="s">
        <v>19</v>
      </c>
      <c r="F277" s="1" t="s">
        <v>72</v>
      </c>
      <c r="H277" s="1" t="s">
        <v>147</v>
      </c>
      <c r="J277" s="1" t="s">
        <v>80</v>
      </c>
      <c r="K277" s="1" t="str">
        <f>IF(TRIM(sales_dataset[[#This Row],[Region]])="", J279, PROPER(TRIM(sales_dataset[[#This Row],[Region]])))</f>
        <v>East</v>
      </c>
      <c r="N277" s="1" t="s">
        <v>21</v>
      </c>
      <c r="Q277" s="1" t="s">
        <v>32</v>
      </c>
      <c r="R277" s="1" t="str">
        <f>IF(TRIM(sales_dataset[[#This Row],[ProductCategory]])="", R295, PROPER(TRIM(sales_dataset[[#This Row],[ProductCategory]])))</f>
        <v>Electronics</v>
      </c>
      <c r="T277" s="1" t="s">
        <v>33</v>
      </c>
      <c r="V277">
        <v>-1</v>
      </c>
      <c r="W277" t="str">
        <f>IF(TRIM(sales_dataset[[#This Row],[Quantity]])="",V283,PROPER(TRIM(sales_dataset[[#This Row],[Quantity]])))</f>
        <v>-1</v>
      </c>
      <c r="Z277">
        <f>IF(TRIM(sales_dataset[[#This Row],[UnitPrice]])="",Y279,PROPER(TRIM(sales_dataset[[#This Row],[UnitPrice]])))</f>
        <v>2000</v>
      </c>
      <c r="AC277" s="1">
        <f>IF(TRIM(sales_dataset[[#This Row],[TotalRevenue]])="",AB279,PROPER(TRIM(sales_dataset[[#This Row],[TotalRevenue]])))</f>
        <v>2000</v>
      </c>
      <c r="AD277" s="1">
        <f>ABS(sales_dataset[[#This Row],[Column5]])</f>
        <v>2000</v>
      </c>
      <c r="AE277" s="1">
        <f>sales_dataset[[#This Row],[Column17]]*sales_dataset[[#This Row],[Column16]]</f>
        <v>0</v>
      </c>
    </row>
    <row r="278" spans="3:31" x14ac:dyDescent="0.3">
      <c r="C278" s="1" t="s">
        <v>16</v>
      </c>
      <c r="F278" s="1" t="s">
        <v>27</v>
      </c>
      <c r="H278" s="1" t="s">
        <v>45</v>
      </c>
      <c r="J278" s="1" t="s">
        <v>66</v>
      </c>
      <c r="K278" s="1" t="str">
        <f>IF(TRIM(sales_dataset[[#This Row],[Region]])="", J280, PROPER(TRIM(sales_dataset[[#This Row],[Region]])))</f>
        <v>West</v>
      </c>
      <c r="N278" s="1" t="s">
        <v>21</v>
      </c>
      <c r="Q278" s="1" t="s">
        <v>19</v>
      </c>
      <c r="R278" s="1" t="str">
        <f>IF(TRIM(sales_dataset[[#This Row],[ProductCategory]])="", R296, PROPER(TRIM(sales_dataset[[#This Row],[ProductCategory]])))</f>
        <v>Home</v>
      </c>
      <c r="T278" s="1" t="s">
        <v>87</v>
      </c>
      <c r="V278">
        <v>2</v>
      </c>
      <c r="W278" t="str">
        <f>IF(TRIM(sales_dataset[[#This Row],[Quantity]])="",V284,PROPER(TRIM(sales_dataset[[#This Row],[Quantity]])))</f>
        <v>2</v>
      </c>
      <c r="Y278">
        <v>1500</v>
      </c>
      <c r="Z278" t="str">
        <f>IF(TRIM(sales_dataset[[#This Row],[UnitPrice]])="",Y280,PROPER(TRIM(sales_dataset[[#This Row],[UnitPrice]])))</f>
        <v>1500</v>
      </c>
      <c r="AB278">
        <v>3000</v>
      </c>
      <c r="AC278" s="1" t="str">
        <f>IF(TRIM(sales_dataset[[#This Row],[TotalRevenue]])="",AB280,PROPER(TRIM(sales_dataset[[#This Row],[TotalRevenue]])))</f>
        <v>3000</v>
      </c>
      <c r="AD278" s="1">
        <f>ABS(sales_dataset[[#This Row],[Column5]])</f>
        <v>3000</v>
      </c>
      <c r="AE278" s="1">
        <f>sales_dataset[[#This Row],[Column17]]*sales_dataset[[#This Row],[Column16]]</f>
        <v>0</v>
      </c>
    </row>
    <row r="279" spans="3:31" x14ac:dyDescent="0.3">
      <c r="C279" s="1" t="s">
        <v>25</v>
      </c>
      <c r="F279" s="1" t="s">
        <v>19</v>
      </c>
      <c r="H279" s="1" t="s">
        <v>79</v>
      </c>
      <c r="J279" s="1" t="s">
        <v>46</v>
      </c>
      <c r="K279" s="1" t="str">
        <f>IF(TRIM(sales_dataset[[#This Row],[Region]])="", J281, PROPER(TRIM(sales_dataset[[#This Row],[Region]])))</f>
        <v>North</v>
      </c>
      <c r="N279" s="1" t="s">
        <v>21</v>
      </c>
      <c r="Q279" s="1" t="s">
        <v>19</v>
      </c>
      <c r="R279" s="1" t="str">
        <f>IF(TRIM(sales_dataset[[#This Row],[ProductCategory]])="", R297, PROPER(TRIM(sales_dataset[[#This Row],[ProductCategory]])))</f>
        <v>Electronics</v>
      </c>
      <c r="T279" s="1" t="s">
        <v>95</v>
      </c>
      <c r="V279">
        <v>1</v>
      </c>
      <c r="W279" t="str">
        <f>IF(TRIM(sales_dataset[[#This Row],[Quantity]])="",V285,PROPER(TRIM(sales_dataset[[#This Row],[Quantity]])))</f>
        <v>1</v>
      </c>
      <c r="Y279">
        <v>2000</v>
      </c>
      <c r="Z279" t="str">
        <f>IF(TRIM(sales_dataset[[#This Row],[UnitPrice]])="",Y281,PROPER(TRIM(sales_dataset[[#This Row],[UnitPrice]])))</f>
        <v>2000</v>
      </c>
      <c r="AB279">
        <v>2000</v>
      </c>
      <c r="AC279" s="1" t="str">
        <f>IF(TRIM(sales_dataset[[#This Row],[TotalRevenue]])="",AB281,PROPER(TRIM(sales_dataset[[#This Row],[TotalRevenue]])))</f>
        <v>2000</v>
      </c>
      <c r="AD279" s="1">
        <f>ABS(sales_dataset[[#This Row],[Column5]])</f>
        <v>2000</v>
      </c>
      <c r="AE279" s="1">
        <f>sales_dataset[[#This Row],[Column17]]*sales_dataset[[#This Row],[Column16]]</f>
        <v>0</v>
      </c>
    </row>
    <row r="280" spans="3:31" x14ac:dyDescent="0.3">
      <c r="C280" s="1" t="s">
        <v>35</v>
      </c>
      <c r="F280" s="1" t="s">
        <v>27</v>
      </c>
      <c r="H280" s="1" t="s">
        <v>28</v>
      </c>
      <c r="J280" s="1" t="s">
        <v>19</v>
      </c>
      <c r="K280" s="1" t="str">
        <f>IF(TRIM(sales_dataset[[#This Row],[Region]])="", J282, PROPER(TRIM(sales_dataset[[#This Row],[Region]])))</f>
        <v>NORTH</v>
      </c>
      <c r="N280" s="1" t="s">
        <v>56</v>
      </c>
      <c r="Q280" s="1" t="s">
        <v>63</v>
      </c>
      <c r="R280" s="1" t="str">
        <f>IF(TRIM(sales_dataset[[#This Row],[ProductCategory]])="", R298, PROPER(TRIM(sales_dataset[[#This Row],[ProductCategory]])))</f>
        <v>Clothing</v>
      </c>
      <c r="T280" s="1" t="s">
        <v>76</v>
      </c>
      <c r="V280">
        <v>2</v>
      </c>
      <c r="W280" t="str">
        <f>IF(TRIM(sales_dataset[[#This Row],[Quantity]])="",V286,PROPER(TRIM(sales_dataset[[#This Row],[Quantity]])))</f>
        <v>2</v>
      </c>
      <c r="Y280">
        <v>2500</v>
      </c>
      <c r="Z280" t="str">
        <f>IF(TRIM(sales_dataset[[#This Row],[UnitPrice]])="",Y282,PROPER(TRIM(sales_dataset[[#This Row],[UnitPrice]])))</f>
        <v>2500</v>
      </c>
      <c r="AB280">
        <v>5000</v>
      </c>
      <c r="AC280" s="1" t="str">
        <f>IF(TRIM(sales_dataset[[#This Row],[TotalRevenue]])="",AB282,PROPER(TRIM(sales_dataset[[#This Row],[TotalRevenue]])))</f>
        <v>5000</v>
      </c>
      <c r="AD280" s="1">
        <f>ABS(sales_dataset[[#This Row],[Column5]])</f>
        <v>5000</v>
      </c>
      <c r="AE280" s="1">
        <f>sales_dataset[[#This Row],[Column17]]*sales_dataset[[#This Row],[Column16]]</f>
        <v>0</v>
      </c>
    </row>
    <row r="281" spans="3:31" x14ac:dyDescent="0.3">
      <c r="C281" s="1" t="s">
        <v>43</v>
      </c>
      <c r="F281" s="1" t="s">
        <v>60</v>
      </c>
      <c r="H281" s="1" t="s">
        <v>45</v>
      </c>
      <c r="J281" s="1" t="s">
        <v>80</v>
      </c>
      <c r="K281" s="1" t="str">
        <f>IF(TRIM(sales_dataset[[#This Row],[Region]])="", J283, PROPER(TRIM(sales_dataset[[#This Row],[Region]])))</f>
        <v>East</v>
      </c>
      <c r="N281" s="1" t="s">
        <v>30</v>
      </c>
      <c r="Q281" s="1" t="s">
        <v>82</v>
      </c>
      <c r="R281" s="1" t="str">
        <f>IF(TRIM(sales_dataset[[#This Row],[ProductCategory]])="", R299, PROPER(TRIM(sales_dataset[[#This Row],[ProductCategory]])))</f>
        <v>Electronics</v>
      </c>
      <c r="T281" s="1" t="s">
        <v>69</v>
      </c>
      <c r="W281">
        <f>IF(TRIM(sales_dataset[[#This Row],[Quantity]])="",V287,PROPER(TRIM(sales_dataset[[#This Row],[Quantity]])))</f>
        <v>4</v>
      </c>
      <c r="Y281">
        <v>2500</v>
      </c>
      <c r="Z281" t="str">
        <f>IF(TRIM(sales_dataset[[#This Row],[UnitPrice]])="",Y283,PROPER(TRIM(sales_dataset[[#This Row],[UnitPrice]])))</f>
        <v>2500</v>
      </c>
      <c r="AC281" s="1">
        <f>IF(TRIM(sales_dataset[[#This Row],[TotalRevenue]])="",AB283,PROPER(TRIM(sales_dataset[[#This Row],[TotalRevenue]])))</f>
        <v>-100</v>
      </c>
      <c r="AD281" s="1">
        <f>ABS(sales_dataset[[#This Row],[Column5]])</f>
        <v>100</v>
      </c>
      <c r="AE281" s="1">
        <f>sales_dataset[[#This Row],[Column17]]*sales_dataset[[#This Row],[Column16]]</f>
        <v>0</v>
      </c>
    </row>
    <row r="282" spans="3:31" x14ac:dyDescent="0.3">
      <c r="C282" s="1" t="s">
        <v>51</v>
      </c>
      <c r="F282" s="1" t="s">
        <v>72</v>
      </c>
      <c r="H282" s="1" t="s">
        <v>45</v>
      </c>
      <c r="J282" s="1" t="s">
        <v>37</v>
      </c>
      <c r="K282" s="1" t="str">
        <f>IF(TRIM(sales_dataset[[#This Row],[Region]])="", J284, PROPER(TRIM(sales_dataset[[#This Row],[Region]])))</f>
        <v>North</v>
      </c>
      <c r="N282" s="1" t="s">
        <v>21</v>
      </c>
      <c r="Q282" s="1" t="s">
        <v>32</v>
      </c>
      <c r="R282" s="1" t="str">
        <f>IF(TRIM(sales_dataset[[#This Row],[ProductCategory]])="", R300, PROPER(TRIM(sales_dataset[[#This Row],[ProductCategory]])))</f>
        <v>Electronics</v>
      </c>
      <c r="T282" s="1" t="s">
        <v>19</v>
      </c>
      <c r="W282">
        <f>IF(TRIM(sales_dataset[[#This Row],[Quantity]])="",V288,PROPER(TRIM(sales_dataset[[#This Row],[Quantity]])))</f>
        <v>5</v>
      </c>
      <c r="Y282">
        <v>2500</v>
      </c>
      <c r="Z282" t="str">
        <f>IF(TRIM(sales_dataset[[#This Row],[UnitPrice]])="",Y284,PROPER(TRIM(sales_dataset[[#This Row],[UnitPrice]])))</f>
        <v>2500</v>
      </c>
      <c r="AC282" s="1">
        <f>IF(TRIM(sales_dataset[[#This Row],[TotalRevenue]])="",AB284,PROPER(TRIM(sales_dataset[[#This Row],[TotalRevenue]])))</f>
        <v>-1250</v>
      </c>
      <c r="AD282" s="1">
        <f>ABS(sales_dataset[[#This Row],[Column5]])</f>
        <v>1250</v>
      </c>
      <c r="AE282" s="1">
        <f>sales_dataset[[#This Row],[Column17]]*sales_dataset[[#This Row],[Column16]]</f>
        <v>0</v>
      </c>
    </row>
    <row r="283" spans="3:31" x14ac:dyDescent="0.3">
      <c r="C283" s="1" t="s">
        <v>19</v>
      </c>
      <c r="F283" s="1" t="s">
        <v>27</v>
      </c>
      <c r="H283" s="1" t="s">
        <v>19</v>
      </c>
      <c r="J283" s="1" t="s">
        <v>66</v>
      </c>
      <c r="K283" s="1" t="str">
        <f>IF(TRIM(sales_dataset[[#This Row],[Region]])="", J285, PROPER(TRIM(sales_dataset[[#This Row],[Region]])))</f>
        <v>West</v>
      </c>
      <c r="N283" s="1" t="s">
        <v>56</v>
      </c>
      <c r="Q283" s="1" t="s">
        <v>82</v>
      </c>
      <c r="R283" s="1" t="str">
        <f>IF(TRIM(sales_dataset[[#This Row],[ProductCategory]])="", R301, PROPER(TRIM(sales_dataset[[#This Row],[ProductCategory]])))</f>
        <v>Electronics</v>
      </c>
      <c r="T283" s="1" t="s">
        <v>19</v>
      </c>
      <c r="V283">
        <v>1</v>
      </c>
      <c r="W283" t="str">
        <f>IF(TRIM(sales_dataset[[#This Row],[Quantity]])="",V289,PROPER(TRIM(sales_dataset[[#This Row],[Quantity]])))</f>
        <v>1</v>
      </c>
      <c r="Y283">
        <v>-100</v>
      </c>
      <c r="Z283" t="str">
        <f>IF(TRIM(sales_dataset[[#This Row],[UnitPrice]])="",Y285,PROPER(TRIM(sales_dataset[[#This Row],[UnitPrice]])))</f>
        <v>-100</v>
      </c>
      <c r="AB283">
        <v>-100</v>
      </c>
      <c r="AC283" s="1" t="str">
        <f>IF(TRIM(sales_dataset[[#This Row],[TotalRevenue]])="",AB285,PROPER(TRIM(sales_dataset[[#This Row],[TotalRevenue]])))</f>
        <v>-100</v>
      </c>
      <c r="AD283" s="1">
        <f>ABS(sales_dataset[[#This Row],[Column5]])</f>
        <v>100</v>
      </c>
      <c r="AE283" s="1">
        <f>sales_dataset[[#This Row],[Column17]]*sales_dataset[[#This Row],[Column16]]</f>
        <v>0</v>
      </c>
    </row>
    <row r="284" spans="3:31" x14ac:dyDescent="0.3">
      <c r="C284" s="1" t="s">
        <v>16</v>
      </c>
      <c r="F284" s="1" t="s">
        <v>118</v>
      </c>
      <c r="H284" s="1" t="s">
        <v>79</v>
      </c>
      <c r="J284" s="1" t="s">
        <v>80</v>
      </c>
      <c r="K284" s="1" t="str">
        <f>IF(TRIM(sales_dataset[[#This Row],[Region]])="", J286, PROPER(TRIM(sales_dataset[[#This Row],[Region]])))</f>
        <v>East</v>
      </c>
      <c r="N284" s="1" t="s">
        <v>56</v>
      </c>
      <c r="Q284" s="1" t="s">
        <v>63</v>
      </c>
      <c r="R284" s="1" t="str">
        <f>IF(TRIM(sales_dataset[[#This Row],[ProductCategory]])="", R302, PROPER(TRIM(sales_dataset[[#This Row],[ProductCategory]])))</f>
        <v>Clothing</v>
      </c>
      <c r="T284" s="1" t="s">
        <v>95</v>
      </c>
      <c r="V284">
        <v>-1</v>
      </c>
      <c r="W284" t="str">
        <f>IF(TRIM(sales_dataset[[#This Row],[Quantity]])="",V290,PROPER(TRIM(sales_dataset[[#This Row],[Quantity]])))</f>
        <v>-1</v>
      </c>
      <c r="Y284">
        <v>2500</v>
      </c>
      <c r="Z284" t="str">
        <f>IF(TRIM(sales_dataset[[#This Row],[UnitPrice]])="",Y286,PROPER(TRIM(sales_dataset[[#This Row],[UnitPrice]])))</f>
        <v>2500</v>
      </c>
      <c r="AB284">
        <v>-1250</v>
      </c>
      <c r="AC284" s="1" t="str">
        <f>IF(TRIM(sales_dataset[[#This Row],[TotalRevenue]])="",AB286,PROPER(TRIM(sales_dataset[[#This Row],[TotalRevenue]])))</f>
        <v>-1250</v>
      </c>
      <c r="AD284" s="1">
        <f>ABS(sales_dataset[[#This Row],[Column5]])</f>
        <v>1250</v>
      </c>
      <c r="AE284" s="1">
        <f>sales_dataset[[#This Row],[Column17]]*sales_dataset[[#This Row],[Column16]]</f>
        <v>0</v>
      </c>
    </row>
    <row r="285" spans="3:31" x14ac:dyDescent="0.3">
      <c r="C285" s="1" t="s">
        <v>25</v>
      </c>
      <c r="F285" s="1" t="s">
        <v>18</v>
      </c>
      <c r="H285" s="1" t="s">
        <v>19</v>
      </c>
      <c r="J285" s="1" t="s">
        <v>19</v>
      </c>
      <c r="K285" s="1" t="str">
        <f>IF(TRIM(sales_dataset[[#This Row],[Region]])="", J287, PROPER(TRIM(sales_dataset[[#This Row],[Region]])))</f>
        <v>North</v>
      </c>
      <c r="N285" s="1" t="s">
        <v>48</v>
      </c>
      <c r="Q285" s="1" t="s">
        <v>82</v>
      </c>
      <c r="R285" s="1" t="str">
        <f>IF(TRIM(sales_dataset[[#This Row],[ProductCategory]])="", R303, PROPER(TRIM(sales_dataset[[#This Row],[ProductCategory]])))</f>
        <v>Electronics</v>
      </c>
      <c r="T285" s="1" t="s">
        <v>95</v>
      </c>
      <c r="V285">
        <v>2</v>
      </c>
      <c r="W285" t="str">
        <f>IF(TRIM(sales_dataset[[#This Row],[Quantity]])="",V291,PROPER(TRIM(sales_dataset[[#This Row],[Quantity]])))</f>
        <v>2</v>
      </c>
      <c r="Y285">
        <v>2500</v>
      </c>
      <c r="Z285" t="str">
        <f>IF(TRIM(sales_dataset[[#This Row],[UnitPrice]])="",Y287,PROPER(TRIM(sales_dataset[[#This Row],[UnitPrice]])))</f>
        <v>2500</v>
      </c>
      <c r="AB285">
        <v>5000</v>
      </c>
      <c r="AC285" s="1" t="str">
        <f>IF(TRIM(sales_dataset[[#This Row],[TotalRevenue]])="",AB287,PROPER(TRIM(sales_dataset[[#This Row],[TotalRevenue]])))</f>
        <v>5000</v>
      </c>
      <c r="AD285" s="1">
        <f>ABS(sales_dataset[[#This Row],[Column5]])</f>
        <v>5000</v>
      </c>
      <c r="AE285" s="1">
        <f>sales_dataset[[#This Row],[Column17]]*sales_dataset[[#This Row],[Column16]]</f>
        <v>0</v>
      </c>
    </row>
    <row r="286" spans="3:31" x14ac:dyDescent="0.3">
      <c r="C286" s="1" t="s">
        <v>35</v>
      </c>
      <c r="F286" s="1" t="s">
        <v>118</v>
      </c>
      <c r="H286" s="1" t="s">
        <v>54</v>
      </c>
      <c r="J286" s="1" t="s">
        <v>46</v>
      </c>
      <c r="K286" s="1" t="str">
        <f>IF(TRIM(sales_dataset[[#This Row],[Region]])="", J288, PROPER(TRIM(sales_dataset[[#This Row],[Region]])))</f>
        <v>North</v>
      </c>
      <c r="N286" s="1" t="s">
        <v>39</v>
      </c>
      <c r="Q286" s="1" t="s">
        <v>82</v>
      </c>
      <c r="R286" s="1" t="str">
        <f>IF(TRIM(sales_dataset[[#This Row],[ProductCategory]])="", R304, PROPER(TRIM(sales_dataset[[#This Row],[ProductCategory]])))</f>
        <v>Electronics</v>
      </c>
      <c r="T286" s="1" t="s">
        <v>23</v>
      </c>
      <c r="V286">
        <v>1</v>
      </c>
      <c r="W286" t="str">
        <f>IF(TRIM(sales_dataset[[#This Row],[Quantity]])="",V292,PROPER(TRIM(sales_dataset[[#This Row],[Quantity]])))</f>
        <v>1</v>
      </c>
      <c r="Y286">
        <v>2000</v>
      </c>
      <c r="Z286" t="str">
        <f>IF(TRIM(sales_dataset[[#This Row],[UnitPrice]])="",Y288,PROPER(TRIM(sales_dataset[[#This Row],[UnitPrice]])))</f>
        <v>2000</v>
      </c>
      <c r="AB286">
        <v>2000</v>
      </c>
      <c r="AC286" s="1" t="str">
        <f>IF(TRIM(sales_dataset[[#This Row],[TotalRevenue]])="",AB288,PROPER(TRIM(sales_dataset[[#This Row],[TotalRevenue]])))</f>
        <v>2000</v>
      </c>
      <c r="AD286" s="1">
        <f>ABS(sales_dataset[[#This Row],[Column5]])</f>
        <v>2000</v>
      </c>
      <c r="AE286" s="1">
        <f>sales_dataset[[#This Row],[Column17]]*sales_dataset[[#This Row],[Column16]]</f>
        <v>0</v>
      </c>
    </row>
    <row r="287" spans="3:31" x14ac:dyDescent="0.3">
      <c r="C287" s="1" t="s">
        <v>43</v>
      </c>
      <c r="F287" s="1" t="s">
        <v>18</v>
      </c>
      <c r="H287" s="1" t="s">
        <v>73</v>
      </c>
      <c r="J287" s="1" t="s">
        <v>46</v>
      </c>
      <c r="K287" s="1" t="str">
        <f>IF(TRIM(sales_dataset[[#This Row],[Region]])="", J289, PROPER(TRIM(sales_dataset[[#This Row],[Region]])))</f>
        <v>North</v>
      </c>
      <c r="N287" s="1" t="s">
        <v>19</v>
      </c>
      <c r="Q287" s="1" t="s">
        <v>82</v>
      </c>
      <c r="R287" s="1" t="str">
        <f>IF(TRIM(sales_dataset[[#This Row],[ProductCategory]])="", R305, PROPER(TRIM(sales_dataset[[#This Row],[ProductCategory]])))</f>
        <v>Electronics</v>
      </c>
      <c r="T287" s="1" t="s">
        <v>69</v>
      </c>
      <c r="V287">
        <v>4</v>
      </c>
      <c r="W287" t="str">
        <f>IF(TRIM(sales_dataset[[#This Row],[Quantity]])="",V293,PROPER(TRIM(sales_dataset[[#This Row],[Quantity]])))</f>
        <v>4</v>
      </c>
      <c r="Y287">
        <v>500</v>
      </c>
      <c r="Z287" t="str">
        <f>IF(TRIM(sales_dataset[[#This Row],[UnitPrice]])="",Y289,PROPER(TRIM(sales_dataset[[#This Row],[UnitPrice]])))</f>
        <v>500</v>
      </c>
      <c r="AB287">
        <v>2000</v>
      </c>
      <c r="AC287" s="1" t="str">
        <f>IF(TRIM(sales_dataset[[#This Row],[TotalRevenue]])="",AB289,PROPER(TRIM(sales_dataset[[#This Row],[TotalRevenue]])))</f>
        <v>2000</v>
      </c>
      <c r="AD287" s="1">
        <f>ABS(sales_dataset[[#This Row],[Column5]])</f>
        <v>2000</v>
      </c>
      <c r="AE287" s="1">
        <f>sales_dataset[[#This Row],[Column17]]*sales_dataset[[#This Row],[Column16]]</f>
        <v>0</v>
      </c>
    </row>
    <row r="288" spans="3:31" x14ac:dyDescent="0.3">
      <c r="C288" s="1" t="s">
        <v>51</v>
      </c>
      <c r="F288" s="1" t="s">
        <v>53</v>
      </c>
      <c r="H288" s="1" t="s">
        <v>147</v>
      </c>
      <c r="J288" s="1" t="s">
        <v>19</v>
      </c>
      <c r="K288" s="1" t="str">
        <f>IF(TRIM(sales_dataset[[#This Row],[Region]])="", J290, PROPER(TRIM(sales_dataset[[#This Row],[Region]])))</f>
        <v>West</v>
      </c>
      <c r="N288" s="1" t="s">
        <v>39</v>
      </c>
      <c r="Q288" s="1" t="s">
        <v>63</v>
      </c>
      <c r="R288" s="1" t="str">
        <f>IF(TRIM(sales_dataset[[#This Row],[ProductCategory]])="", R306, PROPER(TRIM(sales_dataset[[#This Row],[ProductCategory]])))</f>
        <v>Clothing</v>
      </c>
      <c r="T288" s="1" t="s">
        <v>69</v>
      </c>
      <c r="V288">
        <v>5</v>
      </c>
      <c r="W288" t="str">
        <f>IF(TRIM(sales_dataset[[#This Row],[Quantity]])="",V294,PROPER(TRIM(sales_dataset[[#This Row],[Quantity]])))</f>
        <v>5</v>
      </c>
      <c r="Y288">
        <v>2500</v>
      </c>
      <c r="Z288" t="str">
        <f>IF(TRIM(sales_dataset[[#This Row],[UnitPrice]])="",Y290,PROPER(TRIM(sales_dataset[[#This Row],[UnitPrice]])))</f>
        <v>2500</v>
      </c>
      <c r="AB288">
        <v>12500</v>
      </c>
      <c r="AC288" s="1" t="str">
        <f>IF(TRIM(sales_dataset[[#This Row],[TotalRevenue]])="",AB290,PROPER(TRIM(sales_dataset[[#This Row],[TotalRevenue]])))</f>
        <v>12500</v>
      </c>
      <c r="AD288" s="1">
        <f>ABS(sales_dataset[[#This Row],[Column5]])</f>
        <v>12500</v>
      </c>
      <c r="AE288" s="1">
        <f>sales_dataset[[#This Row],[Column17]]*sales_dataset[[#This Row],[Column16]]</f>
        <v>0</v>
      </c>
    </row>
    <row r="289" spans="3:31" x14ac:dyDescent="0.3">
      <c r="C289" s="1" t="s">
        <v>19</v>
      </c>
      <c r="F289" s="1" t="s">
        <v>18</v>
      </c>
      <c r="H289" s="1" t="s">
        <v>19</v>
      </c>
      <c r="J289" s="1" t="s">
        <v>19</v>
      </c>
      <c r="K289" s="1" t="str">
        <f>IF(TRIM(sales_dataset[[#This Row],[Region]])="", J291, PROPER(TRIM(sales_dataset[[#This Row],[Region]])))</f>
        <v>East</v>
      </c>
      <c r="N289" s="1" t="s">
        <v>21</v>
      </c>
      <c r="Q289" s="1" t="s">
        <v>63</v>
      </c>
      <c r="R289" s="1" t="str">
        <f>IF(TRIM(sales_dataset[[#This Row],[ProductCategory]])="", R307, PROPER(TRIM(sales_dataset[[#This Row],[ProductCategory]])))</f>
        <v>Clothing</v>
      </c>
      <c r="T289" s="1" t="s">
        <v>19</v>
      </c>
      <c r="V289">
        <v>4</v>
      </c>
      <c r="W289" t="str">
        <f>IF(TRIM(sales_dataset[[#This Row],[Quantity]])="",V295,PROPER(TRIM(sales_dataset[[#This Row],[Quantity]])))</f>
        <v>4</v>
      </c>
      <c r="Y289">
        <v>-100</v>
      </c>
      <c r="Z289" t="str">
        <f>IF(TRIM(sales_dataset[[#This Row],[UnitPrice]])="",Y291,PROPER(TRIM(sales_dataset[[#This Row],[UnitPrice]])))</f>
        <v>-100</v>
      </c>
      <c r="AB289">
        <v>-200</v>
      </c>
      <c r="AC289" s="1" t="str">
        <f>IF(TRIM(sales_dataset[[#This Row],[TotalRevenue]])="",AB291,PROPER(TRIM(sales_dataset[[#This Row],[TotalRevenue]])))</f>
        <v>-200</v>
      </c>
      <c r="AD289" s="1">
        <f>ABS(sales_dataset[[#This Row],[Column5]])</f>
        <v>200</v>
      </c>
      <c r="AE289" s="1">
        <f>sales_dataset[[#This Row],[Column17]]*sales_dataset[[#This Row],[Column16]]</f>
        <v>0</v>
      </c>
    </row>
    <row r="290" spans="3:31" x14ac:dyDescent="0.3">
      <c r="C290" s="1" t="s">
        <v>16</v>
      </c>
      <c r="F290" s="1" t="s">
        <v>60</v>
      </c>
      <c r="H290" s="1" t="s">
        <v>79</v>
      </c>
      <c r="J290" s="1" t="s">
        <v>66</v>
      </c>
      <c r="K290" s="1" t="str">
        <f>IF(TRIM(sales_dataset[[#This Row],[Region]])="", J292, PROPER(TRIM(sales_dataset[[#This Row],[Region]])))</f>
        <v>West</v>
      </c>
      <c r="N290" s="1" t="s">
        <v>19</v>
      </c>
      <c r="Q290" s="1" t="s">
        <v>63</v>
      </c>
      <c r="R290" s="1" t="str">
        <f>IF(TRIM(sales_dataset[[#This Row],[ProductCategory]])="", R308, PROPER(TRIM(sales_dataset[[#This Row],[ProductCategory]])))</f>
        <v>Clothing</v>
      </c>
      <c r="T290" s="1" t="s">
        <v>69</v>
      </c>
      <c r="V290">
        <v>-1</v>
      </c>
      <c r="W290" t="str">
        <f>IF(TRIM(sales_dataset[[#This Row],[Quantity]])="",V296,PROPER(TRIM(sales_dataset[[#This Row],[Quantity]])))</f>
        <v>-1</v>
      </c>
      <c r="Y290">
        <v>500</v>
      </c>
      <c r="Z290" t="str">
        <f>IF(TRIM(sales_dataset[[#This Row],[UnitPrice]])="",Y292,PROPER(TRIM(sales_dataset[[#This Row],[UnitPrice]])))</f>
        <v>500</v>
      </c>
      <c r="AB290">
        <v>-500</v>
      </c>
      <c r="AC290" s="1" t="str">
        <f>IF(TRIM(sales_dataset[[#This Row],[TotalRevenue]])="",AB292,PROPER(TRIM(sales_dataset[[#This Row],[TotalRevenue]])))</f>
        <v>-500</v>
      </c>
      <c r="AD290" s="1">
        <f>ABS(sales_dataset[[#This Row],[Column5]])</f>
        <v>500</v>
      </c>
      <c r="AE290" s="1">
        <f>sales_dataset[[#This Row],[Column17]]*sales_dataset[[#This Row],[Column16]]</f>
        <v>0</v>
      </c>
    </row>
    <row r="291" spans="3:31" x14ac:dyDescent="0.3">
      <c r="C291" s="1" t="s">
        <v>25</v>
      </c>
      <c r="F291" s="1" t="s">
        <v>19</v>
      </c>
      <c r="H291" s="1" t="s">
        <v>73</v>
      </c>
      <c r="J291" s="1" t="s">
        <v>80</v>
      </c>
      <c r="K291" s="1" t="str">
        <f>IF(TRIM(sales_dataset[[#This Row],[Region]])="", J293, PROPER(TRIM(sales_dataset[[#This Row],[Region]])))</f>
        <v>East</v>
      </c>
      <c r="N291" s="1" t="s">
        <v>30</v>
      </c>
      <c r="Q291" s="1" t="s">
        <v>32</v>
      </c>
      <c r="R291" s="1" t="str">
        <f>IF(TRIM(sales_dataset[[#This Row],[ProductCategory]])="", R309, PROPER(TRIM(sales_dataset[[#This Row],[ProductCategory]])))</f>
        <v>Electronics</v>
      </c>
      <c r="T291" s="1" t="s">
        <v>19</v>
      </c>
      <c r="V291">
        <v>5</v>
      </c>
      <c r="W291" t="str">
        <f>IF(TRIM(sales_dataset[[#This Row],[Quantity]])="",V297,PROPER(TRIM(sales_dataset[[#This Row],[Quantity]])))</f>
        <v>5</v>
      </c>
      <c r="Z291">
        <f>IF(TRIM(sales_dataset[[#This Row],[UnitPrice]])="",Y293,PROPER(TRIM(sales_dataset[[#This Row],[UnitPrice]])))</f>
        <v>-100</v>
      </c>
      <c r="AC291" s="1">
        <f>IF(TRIM(sales_dataset[[#This Row],[TotalRevenue]])="",AB293,PROPER(TRIM(sales_dataset[[#This Row],[TotalRevenue]])))</f>
        <v>-200</v>
      </c>
      <c r="AD291" s="1">
        <f>ABS(sales_dataset[[#This Row],[Column5]])</f>
        <v>200</v>
      </c>
      <c r="AE291" s="1">
        <f>sales_dataset[[#This Row],[Column17]]*sales_dataset[[#This Row],[Column16]]</f>
        <v>0</v>
      </c>
    </row>
    <row r="292" spans="3:31" x14ac:dyDescent="0.3">
      <c r="C292" s="1" t="s">
        <v>35</v>
      </c>
      <c r="F292" s="1" t="s">
        <v>53</v>
      </c>
      <c r="H292" s="1" t="s">
        <v>147</v>
      </c>
      <c r="J292" s="1" t="s">
        <v>37</v>
      </c>
      <c r="K292" s="1" t="str">
        <f>IF(TRIM(sales_dataset[[#This Row],[Region]])="", J294, PROPER(TRIM(sales_dataset[[#This Row],[Region]])))</f>
        <v>North</v>
      </c>
      <c r="N292" s="1" t="s">
        <v>19</v>
      </c>
      <c r="Q292" s="1" t="s">
        <v>41</v>
      </c>
      <c r="R292" s="1" t="str">
        <f>IF(TRIM(sales_dataset[[#This Row],[ProductCategory]])="", R310, PROPER(TRIM(sales_dataset[[#This Row],[ProductCategory]])))</f>
        <v>Home</v>
      </c>
      <c r="T292" s="1" t="s">
        <v>23</v>
      </c>
      <c r="W292">
        <f>IF(TRIM(sales_dataset[[#This Row],[Quantity]])="",V298,PROPER(TRIM(sales_dataset[[#This Row],[Quantity]])))</f>
        <v>3</v>
      </c>
      <c r="Y292">
        <v>500</v>
      </c>
      <c r="Z292" t="str">
        <f>IF(TRIM(sales_dataset[[#This Row],[UnitPrice]])="",Y294,PROPER(TRIM(sales_dataset[[#This Row],[UnitPrice]])))</f>
        <v>500</v>
      </c>
      <c r="AC292" s="1">
        <f>IF(TRIM(sales_dataset[[#This Row],[TotalRevenue]])="",AB294,PROPER(TRIM(sales_dataset[[#This Row],[TotalRevenue]])))</f>
        <v>-200</v>
      </c>
      <c r="AD292" s="1">
        <f>ABS(sales_dataset[[#This Row],[Column5]])</f>
        <v>200</v>
      </c>
      <c r="AE292" s="1">
        <f>sales_dataset[[#This Row],[Column17]]*sales_dataset[[#This Row],[Column16]]</f>
        <v>0</v>
      </c>
    </row>
    <row r="293" spans="3:31" x14ac:dyDescent="0.3">
      <c r="C293" s="1" t="s">
        <v>43</v>
      </c>
      <c r="F293" s="1" t="s">
        <v>27</v>
      </c>
      <c r="H293" s="1" t="s">
        <v>73</v>
      </c>
      <c r="J293" s="1" t="s">
        <v>19</v>
      </c>
      <c r="K293" s="1" t="str">
        <f>IF(TRIM(sales_dataset[[#This Row],[Region]])="", J295, PROPER(TRIM(sales_dataset[[#This Row],[Region]])))</f>
        <v>South</v>
      </c>
      <c r="N293" s="1" t="s">
        <v>19</v>
      </c>
      <c r="Q293" s="1" t="s">
        <v>82</v>
      </c>
      <c r="R293" s="1" t="str">
        <f>IF(TRIM(sales_dataset[[#This Row],[ProductCategory]])="", R311, PROPER(TRIM(sales_dataset[[#This Row],[ProductCategory]])))</f>
        <v>Electronics</v>
      </c>
      <c r="T293" s="1" t="s">
        <v>69</v>
      </c>
      <c r="V293">
        <v>4</v>
      </c>
      <c r="W293" t="str">
        <f>IF(TRIM(sales_dataset[[#This Row],[Quantity]])="",V299,PROPER(TRIM(sales_dataset[[#This Row],[Quantity]])))</f>
        <v>4</v>
      </c>
      <c r="Y293">
        <v>-100</v>
      </c>
      <c r="Z293" t="str">
        <f>IF(TRIM(sales_dataset[[#This Row],[UnitPrice]])="",Y295,PROPER(TRIM(sales_dataset[[#This Row],[UnitPrice]])))</f>
        <v>-100</v>
      </c>
      <c r="AB293">
        <v>-200</v>
      </c>
      <c r="AC293" s="1" t="str">
        <f>IF(TRIM(sales_dataset[[#This Row],[TotalRevenue]])="",AB295,PROPER(TRIM(sales_dataset[[#This Row],[TotalRevenue]])))</f>
        <v>-200</v>
      </c>
      <c r="AD293" s="1">
        <f>ABS(sales_dataset[[#This Row],[Column5]])</f>
        <v>200</v>
      </c>
      <c r="AE293" s="1">
        <f>sales_dataset[[#This Row],[Column17]]*sales_dataset[[#This Row],[Column16]]</f>
        <v>0</v>
      </c>
    </row>
    <row r="294" spans="3:31" x14ac:dyDescent="0.3">
      <c r="C294" s="1" t="s">
        <v>51</v>
      </c>
      <c r="F294" s="1" t="s">
        <v>18</v>
      </c>
      <c r="H294" s="1" t="s">
        <v>147</v>
      </c>
      <c r="J294" s="1" t="s">
        <v>19</v>
      </c>
      <c r="K294" s="1" t="str">
        <f>IF(TRIM(sales_dataset[[#This Row],[Region]])="", J296, PROPER(TRIM(sales_dataset[[#This Row],[Region]])))</f>
        <v>North</v>
      </c>
      <c r="N294" s="1" t="s">
        <v>30</v>
      </c>
      <c r="Q294" s="1" t="s">
        <v>19</v>
      </c>
      <c r="R294" s="1" t="str">
        <f>IF(TRIM(sales_dataset[[#This Row],[ProductCategory]])="", R312, PROPER(TRIM(sales_dataset[[#This Row],[ProductCategory]])))</f>
        <v>Electronics</v>
      </c>
      <c r="T294" s="1" t="s">
        <v>23</v>
      </c>
      <c r="V294">
        <v>2</v>
      </c>
      <c r="W294" t="str">
        <f>IF(TRIM(sales_dataset[[#This Row],[Quantity]])="",V300,PROPER(TRIM(sales_dataset[[#This Row],[Quantity]])))</f>
        <v>2</v>
      </c>
      <c r="Y294">
        <v>-100</v>
      </c>
      <c r="Z294" t="str">
        <f>IF(TRIM(sales_dataset[[#This Row],[UnitPrice]])="",Y296,PROPER(TRIM(sales_dataset[[#This Row],[UnitPrice]])))</f>
        <v>-100</v>
      </c>
      <c r="AB294">
        <v>-200</v>
      </c>
      <c r="AC294" s="1" t="str">
        <f>IF(TRIM(sales_dataset[[#This Row],[TotalRevenue]])="",AB296,PROPER(TRIM(sales_dataset[[#This Row],[TotalRevenue]])))</f>
        <v>-200</v>
      </c>
      <c r="AD294" s="1">
        <f>ABS(sales_dataset[[#This Row],[Column5]])</f>
        <v>200</v>
      </c>
      <c r="AE294" s="1">
        <f>sales_dataset[[#This Row],[Column17]]*sales_dataset[[#This Row],[Column16]]</f>
        <v>0</v>
      </c>
    </row>
    <row r="295" spans="3:31" x14ac:dyDescent="0.3">
      <c r="C295" s="1" t="s">
        <v>19</v>
      </c>
      <c r="F295" s="1" t="s">
        <v>60</v>
      </c>
      <c r="H295" s="1" t="s">
        <v>73</v>
      </c>
      <c r="J295" s="1" t="s">
        <v>98</v>
      </c>
      <c r="K295" s="1" t="str">
        <f>IF(TRIM(sales_dataset[[#This Row],[Region]])="", J297, PROPER(TRIM(sales_dataset[[#This Row],[Region]])))</f>
        <v>South</v>
      </c>
      <c r="N295" s="1" t="s">
        <v>30</v>
      </c>
      <c r="Q295" s="1" t="s">
        <v>19</v>
      </c>
      <c r="R295" s="1" t="str">
        <f>IF(TRIM(sales_dataset[[#This Row],[ProductCategory]])="", R313, PROPER(TRIM(sales_dataset[[#This Row],[ProductCategory]])))</f>
        <v>Electronics</v>
      </c>
      <c r="T295" s="1" t="s">
        <v>76</v>
      </c>
      <c r="V295">
        <v>5</v>
      </c>
      <c r="W295" t="str">
        <f>IF(TRIM(sales_dataset[[#This Row],[Quantity]])="",V301,PROPER(TRIM(sales_dataset[[#This Row],[Quantity]])))</f>
        <v>5</v>
      </c>
      <c r="Z295">
        <f>IF(TRIM(sales_dataset[[#This Row],[UnitPrice]])="",Y297,PROPER(TRIM(sales_dataset[[#This Row],[UnitPrice]])))</f>
        <v>-100</v>
      </c>
      <c r="AC295" s="1">
        <f>IF(TRIM(sales_dataset[[#This Row],[TotalRevenue]])="",AB297,PROPER(TRIM(sales_dataset[[#This Row],[TotalRevenue]])))</f>
        <v>100</v>
      </c>
      <c r="AD295" s="1">
        <f>ABS(sales_dataset[[#This Row],[Column5]])</f>
        <v>100</v>
      </c>
      <c r="AE295" s="1">
        <f>sales_dataset[[#This Row],[Column17]]*sales_dataset[[#This Row],[Column16]]</f>
        <v>0</v>
      </c>
    </row>
    <row r="296" spans="3:31" x14ac:dyDescent="0.3">
      <c r="C296" s="1" t="s">
        <v>16</v>
      </c>
      <c r="F296" s="1" t="s">
        <v>118</v>
      </c>
      <c r="H296" s="1" t="s">
        <v>19</v>
      </c>
      <c r="J296" s="1" t="s">
        <v>46</v>
      </c>
      <c r="K296" s="1" t="str">
        <f>IF(TRIM(sales_dataset[[#This Row],[Region]])="", J298, PROPER(TRIM(sales_dataset[[#This Row],[Region]])))</f>
        <v>North</v>
      </c>
      <c r="N296" s="1" t="s">
        <v>56</v>
      </c>
      <c r="Q296" s="1" t="s">
        <v>41</v>
      </c>
      <c r="R296" s="1" t="str">
        <f>IF(TRIM(sales_dataset[[#This Row],[ProductCategory]])="", R314, PROPER(TRIM(sales_dataset[[#This Row],[ProductCategory]])))</f>
        <v>Home</v>
      </c>
      <c r="T296" s="1" t="s">
        <v>23</v>
      </c>
      <c r="V296">
        <v>4</v>
      </c>
      <c r="W296" t="str">
        <f>IF(TRIM(sales_dataset[[#This Row],[Quantity]])="",V302,PROPER(TRIM(sales_dataset[[#This Row],[Quantity]])))</f>
        <v>4</v>
      </c>
      <c r="Y296">
        <v>500</v>
      </c>
      <c r="Z296" t="str">
        <f>IF(TRIM(sales_dataset[[#This Row],[UnitPrice]])="",Y298,PROPER(TRIM(sales_dataset[[#This Row],[UnitPrice]])))</f>
        <v>500</v>
      </c>
      <c r="AB296">
        <v>2000</v>
      </c>
      <c r="AC296" s="1" t="str">
        <f>IF(TRIM(sales_dataset[[#This Row],[TotalRevenue]])="",AB298,PROPER(TRIM(sales_dataset[[#This Row],[TotalRevenue]])))</f>
        <v>2000</v>
      </c>
      <c r="AD296" s="1">
        <f>ABS(sales_dataset[[#This Row],[Column5]])</f>
        <v>2000</v>
      </c>
      <c r="AE296" s="1">
        <f>sales_dataset[[#This Row],[Column17]]*sales_dataset[[#This Row],[Column16]]</f>
        <v>0</v>
      </c>
    </row>
    <row r="297" spans="3:31" x14ac:dyDescent="0.3">
      <c r="C297" s="1" t="s">
        <v>25</v>
      </c>
      <c r="F297" s="1" t="s">
        <v>19</v>
      </c>
      <c r="H297" s="1" t="s">
        <v>54</v>
      </c>
      <c r="J297" s="1" t="s">
        <v>98</v>
      </c>
      <c r="K297" s="1" t="str">
        <f>IF(TRIM(sales_dataset[[#This Row],[Region]])="", J299, PROPER(TRIM(sales_dataset[[#This Row],[Region]])))</f>
        <v>South</v>
      </c>
      <c r="N297" s="1" t="s">
        <v>56</v>
      </c>
      <c r="Q297" s="1" t="s">
        <v>82</v>
      </c>
      <c r="R297" s="1" t="str">
        <f>IF(TRIM(sales_dataset[[#This Row],[ProductCategory]])="", R315, PROPER(TRIM(sales_dataset[[#This Row],[ProductCategory]])))</f>
        <v>Electronics</v>
      </c>
      <c r="T297" s="1" t="s">
        <v>33</v>
      </c>
      <c r="V297">
        <v>-1</v>
      </c>
      <c r="W297" t="str">
        <f>IF(TRIM(sales_dataset[[#This Row],[Quantity]])="",V303,PROPER(TRIM(sales_dataset[[#This Row],[Quantity]])))</f>
        <v>-1</v>
      </c>
      <c r="Y297">
        <v>-100</v>
      </c>
      <c r="Z297" t="str">
        <f>IF(TRIM(sales_dataset[[#This Row],[UnitPrice]])="",Y299,PROPER(TRIM(sales_dataset[[#This Row],[UnitPrice]])))</f>
        <v>-100</v>
      </c>
      <c r="AB297">
        <v>100</v>
      </c>
      <c r="AC297" s="1" t="str">
        <f>IF(TRIM(sales_dataset[[#This Row],[TotalRevenue]])="",AB299,PROPER(TRIM(sales_dataset[[#This Row],[TotalRevenue]])))</f>
        <v>100</v>
      </c>
      <c r="AD297" s="1">
        <f>ABS(sales_dataset[[#This Row],[Column5]])</f>
        <v>100</v>
      </c>
      <c r="AE297" s="1">
        <f>sales_dataset[[#This Row],[Column17]]*sales_dataset[[#This Row],[Column16]]</f>
        <v>0</v>
      </c>
    </row>
    <row r="298" spans="3:31" x14ac:dyDescent="0.3">
      <c r="C298" s="1" t="s">
        <v>35</v>
      </c>
      <c r="F298" s="1" t="s">
        <v>53</v>
      </c>
      <c r="H298" s="1" t="s">
        <v>45</v>
      </c>
      <c r="J298" s="1" t="s">
        <v>37</v>
      </c>
      <c r="K298" s="1" t="str">
        <f>IF(TRIM(sales_dataset[[#This Row],[Region]])="", J300, PROPER(TRIM(sales_dataset[[#This Row],[Region]])))</f>
        <v>North</v>
      </c>
      <c r="N298" s="1" t="s">
        <v>56</v>
      </c>
      <c r="Q298" s="1" t="s">
        <v>82</v>
      </c>
      <c r="R298" s="1" t="str">
        <f>IF(TRIM(sales_dataset[[#This Row],[ProductCategory]])="", R316, PROPER(TRIM(sales_dataset[[#This Row],[ProductCategory]])))</f>
        <v>Electronics</v>
      </c>
      <c r="T298" s="1" t="s">
        <v>87</v>
      </c>
      <c r="V298">
        <v>3</v>
      </c>
      <c r="W298" t="str">
        <f>IF(TRIM(sales_dataset[[#This Row],[Quantity]])="",V304,PROPER(TRIM(sales_dataset[[#This Row],[Quantity]])))</f>
        <v>3</v>
      </c>
      <c r="Z298">
        <f>IF(TRIM(sales_dataset[[#This Row],[UnitPrice]])="",Y300,PROPER(TRIM(sales_dataset[[#This Row],[UnitPrice]])))</f>
        <v>-100</v>
      </c>
      <c r="AC298" s="1">
        <f>IF(TRIM(sales_dataset[[#This Row],[TotalRevenue]])="",AB300,PROPER(TRIM(sales_dataset[[#This Row],[TotalRevenue]])))</f>
        <v>-100</v>
      </c>
      <c r="AD298" s="1">
        <f>ABS(sales_dataset[[#This Row],[Column5]])</f>
        <v>100</v>
      </c>
      <c r="AE298" s="1">
        <f>sales_dataset[[#This Row],[Column17]]*sales_dataset[[#This Row],[Column16]]</f>
        <v>0</v>
      </c>
    </row>
    <row r="299" spans="3:31" x14ac:dyDescent="0.3">
      <c r="C299" s="1" t="s">
        <v>43</v>
      </c>
      <c r="F299" s="1" t="s">
        <v>19</v>
      </c>
      <c r="H299" s="1" t="s">
        <v>147</v>
      </c>
      <c r="J299" s="1" t="s">
        <v>19</v>
      </c>
      <c r="K299" s="1" t="str">
        <f>IF(TRIM(sales_dataset[[#This Row],[Region]])="", J301, PROPER(TRIM(sales_dataset[[#This Row],[Region]])))</f>
        <v>North</v>
      </c>
      <c r="N299" s="1" t="s">
        <v>48</v>
      </c>
      <c r="Q299" s="1" t="s">
        <v>82</v>
      </c>
      <c r="R299" s="1" t="str">
        <f>IF(TRIM(sales_dataset[[#This Row],[ProductCategory]])="", R317, PROPER(TRIM(sales_dataset[[#This Row],[ProductCategory]])))</f>
        <v>Electronics</v>
      </c>
      <c r="T299" s="1" t="s">
        <v>69</v>
      </c>
      <c r="V299">
        <v>5</v>
      </c>
      <c r="W299" t="str">
        <f>IF(TRIM(sales_dataset[[#This Row],[Quantity]])="",V305,PROPER(TRIM(sales_dataset[[#This Row],[Quantity]])))</f>
        <v>5</v>
      </c>
      <c r="Y299">
        <v>500</v>
      </c>
      <c r="Z299" t="str">
        <f>IF(TRIM(sales_dataset[[#This Row],[UnitPrice]])="",Y301,PROPER(TRIM(sales_dataset[[#This Row],[UnitPrice]])))</f>
        <v>500</v>
      </c>
      <c r="AB299">
        <v>2500</v>
      </c>
      <c r="AC299" s="1" t="str">
        <f>IF(TRIM(sales_dataset[[#This Row],[TotalRevenue]])="",AB301,PROPER(TRIM(sales_dataset[[#This Row],[TotalRevenue]])))</f>
        <v>2500</v>
      </c>
      <c r="AD299" s="1">
        <f>ABS(sales_dataset[[#This Row],[Column5]])</f>
        <v>2500</v>
      </c>
      <c r="AE299" s="1">
        <f>sales_dataset[[#This Row],[Column17]]*sales_dataset[[#This Row],[Column16]]</f>
        <v>0</v>
      </c>
    </row>
    <row r="300" spans="3:31" x14ac:dyDescent="0.3">
      <c r="C300" s="1" t="s">
        <v>51</v>
      </c>
      <c r="F300" s="1" t="s">
        <v>53</v>
      </c>
      <c r="H300" s="1" t="s">
        <v>45</v>
      </c>
      <c r="J300" s="1" t="s">
        <v>66</v>
      </c>
      <c r="K300" s="1" t="str">
        <f>IF(TRIM(sales_dataset[[#This Row],[Region]])="", J302, PROPER(TRIM(sales_dataset[[#This Row],[Region]])))</f>
        <v>West</v>
      </c>
      <c r="N300" s="1" t="s">
        <v>56</v>
      </c>
      <c r="Q300" s="1" t="s">
        <v>63</v>
      </c>
      <c r="R300" s="1" t="str">
        <f>IF(TRIM(sales_dataset[[#This Row],[ProductCategory]])="", R318, PROPER(TRIM(sales_dataset[[#This Row],[ProductCategory]])))</f>
        <v>Clothing</v>
      </c>
      <c r="T300" s="1" t="s">
        <v>33</v>
      </c>
      <c r="V300">
        <v>1</v>
      </c>
      <c r="W300" t="str">
        <f>IF(TRIM(sales_dataset[[#This Row],[Quantity]])="",V306,PROPER(TRIM(sales_dataset[[#This Row],[Quantity]])))</f>
        <v>1</v>
      </c>
      <c r="Y300">
        <v>-100</v>
      </c>
      <c r="Z300" t="str">
        <f>IF(TRIM(sales_dataset[[#This Row],[UnitPrice]])="",Y302,PROPER(TRIM(sales_dataset[[#This Row],[UnitPrice]])))</f>
        <v>-100</v>
      </c>
      <c r="AB300">
        <v>-100</v>
      </c>
      <c r="AC300" s="1" t="str">
        <f>IF(TRIM(sales_dataset[[#This Row],[TotalRevenue]])="",AB302,PROPER(TRIM(sales_dataset[[#This Row],[TotalRevenue]])))</f>
        <v>-100</v>
      </c>
      <c r="AD300" s="1">
        <f>ABS(sales_dataset[[#This Row],[Column5]])</f>
        <v>100</v>
      </c>
      <c r="AE300" s="1">
        <f>sales_dataset[[#This Row],[Column17]]*sales_dataset[[#This Row],[Column16]]</f>
        <v>0</v>
      </c>
    </row>
    <row r="301" spans="3:31" x14ac:dyDescent="0.3">
      <c r="C301" s="1" t="s">
        <v>19</v>
      </c>
      <c r="F301" s="1" t="s">
        <v>60</v>
      </c>
      <c r="H301" s="1" t="s">
        <v>147</v>
      </c>
      <c r="J301" s="1" t="s">
        <v>46</v>
      </c>
      <c r="K301" s="1" t="str">
        <f>IF(TRIM(sales_dataset[[#This Row],[Region]])="", J303, PROPER(TRIM(sales_dataset[[#This Row],[Region]])))</f>
        <v>North</v>
      </c>
      <c r="N301" s="1" t="s">
        <v>30</v>
      </c>
      <c r="Q301" s="1" t="s">
        <v>32</v>
      </c>
      <c r="R301" s="1" t="str">
        <f>IF(TRIM(sales_dataset[[#This Row],[ProductCategory]])="", R319, PROPER(TRIM(sales_dataset[[#This Row],[ProductCategory]])))</f>
        <v>Electronics</v>
      </c>
      <c r="T301" s="1" t="s">
        <v>33</v>
      </c>
      <c r="V301">
        <v>-1</v>
      </c>
      <c r="W301" t="str">
        <f>IF(TRIM(sales_dataset[[#This Row],[Quantity]])="",V307,PROPER(TRIM(sales_dataset[[#This Row],[Quantity]])))</f>
        <v>-1</v>
      </c>
      <c r="Y301">
        <v>500</v>
      </c>
      <c r="Z301" t="str">
        <f>IF(TRIM(sales_dataset[[#This Row],[UnitPrice]])="",Y303,PROPER(TRIM(sales_dataset[[#This Row],[UnitPrice]])))</f>
        <v>500</v>
      </c>
      <c r="AB301">
        <v>-500</v>
      </c>
      <c r="AC301" s="1" t="str">
        <f>IF(TRIM(sales_dataset[[#This Row],[TotalRevenue]])="",AB303,PROPER(TRIM(sales_dataset[[#This Row],[TotalRevenue]])))</f>
        <v>-500</v>
      </c>
      <c r="AD301" s="1">
        <f>ABS(sales_dataset[[#This Row],[Column5]])</f>
        <v>500</v>
      </c>
      <c r="AE301" s="1">
        <f>sales_dataset[[#This Row],[Column17]]*sales_dataset[[#This Row],[Column16]]</f>
        <v>0</v>
      </c>
    </row>
    <row r="302" spans="3:31" x14ac:dyDescent="0.3">
      <c r="C302" s="1" t="s">
        <v>16</v>
      </c>
      <c r="F302" s="1" t="s">
        <v>118</v>
      </c>
      <c r="H302" s="1" t="s">
        <v>79</v>
      </c>
      <c r="J302" s="1" t="s">
        <v>98</v>
      </c>
      <c r="K302" s="1" t="str">
        <f>IF(TRIM(sales_dataset[[#This Row],[Region]])="", J304, PROPER(TRIM(sales_dataset[[#This Row],[Region]])))</f>
        <v>South</v>
      </c>
      <c r="N302" s="1" t="s">
        <v>19</v>
      </c>
      <c r="Q302" s="1" t="s">
        <v>63</v>
      </c>
      <c r="R302" s="1" t="str">
        <f>IF(TRIM(sales_dataset[[#This Row],[ProductCategory]])="", R320, PROPER(TRIM(sales_dataset[[#This Row],[ProductCategory]])))</f>
        <v>Clothing</v>
      </c>
      <c r="T302" s="1" t="s">
        <v>19</v>
      </c>
      <c r="W302">
        <f>IF(TRIM(sales_dataset[[#This Row],[Quantity]])="",V308,PROPER(TRIM(sales_dataset[[#This Row],[Quantity]])))</f>
        <v>1</v>
      </c>
      <c r="Y302">
        <v>2000</v>
      </c>
      <c r="Z302" t="str">
        <f>IF(TRIM(sales_dataset[[#This Row],[UnitPrice]])="",Y304,PROPER(TRIM(sales_dataset[[#This Row],[UnitPrice]])))</f>
        <v>2000</v>
      </c>
      <c r="AC302" s="1">
        <f>IF(TRIM(sales_dataset[[#This Row],[TotalRevenue]])="",AB304,PROPER(TRIM(sales_dataset[[#This Row],[TotalRevenue]])))</f>
        <v>0</v>
      </c>
      <c r="AD302" s="1">
        <f>ABS(sales_dataset[[#This Row],[Column5]])</f>
        <v>0</v>
      </c>
      <c r="AE302" s="1">
        <f>sales_dataset[[#This Row],[Column17]]*sales_dataset[[#This Row],[Column16]]</f>
        <v>0</v>
      </c>
    </row>
    <row r="303" spans="3:31" x14ac:dyDescent="0.3">
      <c r="C303" s="1" t="s">
        <v>25</v>
      </c>
      <c r="F303" s="1" t="s">
        <v>53</v>
      </c>
      <c r="H303" s="1" t="s">
        <v>79</v>
      </c>
      <c r="J303" s="1" t="s">
        <v>46</v>
      </c>
      <c r="K303" s="1" t="str">
        <f>IF(TRIM(sales_dataset[[#This Row],[Region]])="", J305, PROPER(TRIM(sales_dataset[[#This Row],[Region]])))</f>
        <v>North</v>
      </c>
      <c r="N303" s="1" t="s">
        <v>30</v>
      </c>
      <c r="Q303" s="1" t="s">
        <v>82</v>
      </c>
      <c r="R303" s="1" t="str">
        <f>IF(TRIM(sales_dataset[[#This Row],[ProductCategory]])="", R321, PROPER(TRIM(sales_dataset[[#This Row],[ProductCategory]])))</f>
        <v>Electronics</v>
      </c>
      <c r="T303" s="1" t="s">
        <v>76</v>
      </c>
      <c r="V303">
        <v>-1</v>
      </c>
      <c r="W303" t="str">
        <f>IF(TRIM(sales_dataset[[#This Row],[Quantity]])="",V309,PROPER(TRIM(sales_dataset[[#This Row],[Quantity]])))</f>
        <v>-1</v>
      </c>
      <c r="Z303">
        <f>IF(TRIM(sales_dataset[[#This Row],[UnitPrice]])="",Y305,PROPER(TRIM(sales_dataset[[#This Row],[UnitPrice]])))</f>
        <v>2000</v>
      </c>
      <c r="AC303" s="1">
        <f>IF(TRIM(sales_dataset[[#This Row],[TotalRevenue]])="",AB305,PROPER(TRIM(sales_dataset[[#This Row],[TotalRevenue]])))</f>
        <v>4000</v>
      </c>
      <c r="AD303" s="1">
        <f>ABS(sales_dataset[[#This Row],[Column5]])</f>
        <v>4000</v>
      </c>
      <c r="AE303" s="1">
        <f>sales_dataset[[#This Row],[Column17]]*sales_dataset[[#This Row],[Column16]]</f>
        <v>0</v>
      </c>
    </row>
    <row r="304" spans="3:31" x14ac:dyDescent="0.3">
      <c r="C304" s="1" t="s">
        <v>35</v>
      </c>
      <c r="F304" s="1" t="s">
        <v>27</v>
      </c>
      <c r="H304" s="1" t="s">
        <v>147</v>
      </c>
      <c r="J304" s="1" t="s">
        <v>98</v>
      </c>
      <c r="K304" s="1" t="str">
        <f>IF(TRIM(sales_dataset[[#This Row],[Region]])="", J306, PROPER(TRIM(sales_dataset[[#This Row],[Region]])))</f>
        <v>South</v>
      </c>
      <c r="N304" s="1" t="s">
        <v>19</v>
      </c>
      <c r="Q304" s="1" t="s">
        <v>41</v>
      </c>
      <c r="R304" s="1" t="str">
        <f>IF(TRIM(sales_dataset[[#This Row],[ProductCategory]])="", R322, PROPER(TRIM(sales_dataset[[#This Row],[ProductCategory]])))</f>
        <v>Home</v>
      </c>
      <c r="T304" s="1" t="s">
        <v>95</v>
      </c>
      <c r="W304">
        <f>IF(TRIM(sales_dataset[[#This Row],[Quantity]])="",V310,PROPER(TRIM(sales_dataset[[#This Row],[Quantity]])))</f>
        <v>4</v>
      </c>
      <c r="Y304">
        <v>500</v>
      </c>
      <c r="Z304" t="str">
        <f>IF(TRIM(sales_dataset[[#This Row],[UnitPrice]])="",Y306,PROPER(TRIM(sales_dataset[[#This Row],[UnitPrice]])))</f>
        <v>500</v>
      </c>
      <c r="AC304" s="1">
        <f>IF(TRIM(sales_dataset[[#This Row],[TotalRevenue]])="",AB306,PROPER(TRIM(sales_dataset[[#This Row],[TotalRevenue]])))</f>
        <v>-400</v>
      </c>
      <c r="AD304" s="1">
        <f>ABS(sales_dataset[[#This Row],[Column5]])</f>
        <v>400</v>
      </c>
      <c r="AE304" s="1">
        <f>sales_dataset[[#This Row],[Column17]]*sales_dataset[[#This Row],[Column16]]</f>
        <v>0</v>
      </c>
    </row>
    <row r="305" spans="3:31" x14ac:dyDescent="0.3">
      <c r="C305" s="1" t="s">
        <v>43</v>
      </c>
      <c r="F305" s="1" t="s">
        <v>19</v>
      </c>
      <c r="H305" s="1" t="s">
        <v>54</v>
      </c>
      <c r="J305" s="1" t="s">
        <v>19</v>
      </c>
      <c r="K305" s="1" t="str">
        <f>IF(TRIM(sales_dataset[[#This Row],[Region]])="", J307, PROPER(TRIM(sales_dataset[[#This Row],[Region]])))</f>
        <v>East</v>
      </c>
      <c r="N305" s="1" t="s">
        <v>39</v>
      </c>
      <c r="Q305" s="1" t="s">
        <v>82</v>
      </c>
      <c r="R305" s="1" t="str">
        <f>IF(TRIM(sales_dataset[[#This Row],[ProductCategory]])="", R323, PROPER(TRIM(sales_dataset[[#This Row],[ProductCategory]])))</f>
        <v>Electronics</v>
      </c>
      <c r="T305" s="1" t="s">
        <v>76</v>
      </c>
      <c r="V305">
        <v>2</v>
      </c>
      <c r="W305" t="str">
        <f>IF(TRIM(sales_dataset[[#This Row],[Quantity]])="",V311,PROPER(TRIM(sales_dataset[[#This Row],[Quantity]])))</f>
        <v>2</v>
      </c>
      <c r="Y305">
        <v>2000</v>
      </c>
      <c r="Z305" t="str">
        <f>IF(TRIM(sales_dataset[[#This Row],[UnitPrice]])="",Y307,PROPER(TRIM(sales_dataset[[#This Row],[UnitPrice]])))</f>
        <v>2000</v>
      </c>
      <c r="AB305">
        <v>4000</v>
      </c>
      <c r="AC305" s="1" t="str">
        <f>IF(TRIM(sales_dataset[[#This Row],[TotalRevenue]])="",AB307,PROPER(TRIM(sales_dataset[[#This Row],[TotalRevenue]])))</f>
        <v>4000</v>
      </c>
      <c r="AD305" s="1">
        <f>ABS(sales_dataset[[#This Row],[Column5]])</f>
        <v>4000</v>
      </c>
      <c r="AE305" s="1">
        <f>sales_dataset[[#This Row],[Column17]]*sales_dataset[[#This Row],[Column16]]</f>
        <v>0</v>
      </c>
    </row>
    <row r="306" spans="3:31" x14ac:dyDescent="0.3">
      <c r="C306" s="1" t="s">
        <v>51</v>
      </c>
      <c r="F306" s="1" t="s">
        <v>18</v>
      </c>
      <c r="H306" s="1" t="s">
        <v>73</v>
      </c>
      <c r="J306" s="1" t="s">
        <v>80</v>
      </c>
      <c r="K306" s="1" t="str">
        <f>IF(TRIM(sales_dataset[[#This Row],[Region]])="", J308, PROPER(TRIM(sales_dataset[[#This Row],[Region]])))</f>
        <v>East</v>
      </c>
      <c r="N306" s="1" t="s">
        <v>30</v>
      </c>
      <c r="Q306" s="1" t="s">
        <v>82</v>
      </c>
      <c r="R306" s="1" t="str">
        <f>IF(TRIM(sales_dataset[[#This Row],[ProductCategory]])="", R324, PROPER(TRIM(sales_dataset[[#This Row],[ProductCategory]])))</f>
        <v>Electronics</v>
      </c>
      <c r="T306" s="1" t="s">
        <v>87</v>
      </c>
      <c r="V306">
        <v>4</v>
      </c>
      <c r="W306" t="str">
        <f>IF(TRIM(sales_dataset[[#This Row],[Quantity]])="",V312,PROPER(TRIM(sales_dataset[[#This Row],[Quantity]])))</f>
        <v>4</v>
      </c>
      <c r="Y306">
        <v>-100</v>
      </c>
      <c r="Z306" t="str">
        <f>IF(TRIM(sales_dataset[[#This Row],[UnitPrice]])="",Y308,PROPER(TRIM(sales_dataset[[#This Row],[UnitPrice]])))</f>
        <v>-100</v>
      </c>
      <c r="AB306">
        <v>-400</v>
      </c>
      <c r="AC306" s="1" t="str">
        <f>IF(TRIM(sales_dataset[[#This Row],[TotalRevenue]])="",AB308,PROPER(TRIM(sales_dataset[[#This Row],[TotalRevenue]])))</f>
        <v>-400</v>
      </c>
      <c r="AD306" s="1">
        <f>ABS(sales_dataset[[#This Row],[Column5]])</f>
        <v>400</v>
      </c>
      <c r="AE306" s="1">
        <f>sales_dataset[[#This Row],[Column17]]*sales_dataset[[#This Row],[Column16]]</f>
        <v>0</v>
      </c>
    </row>
    <row r="307" spans="3:31" x14ac:dyDescent="0.3">
      <c r="C307" s="1" t="s">
        <v>19</v>
      </c>
      <c r="F307" s="1" t="s">
        <v>19</v>
      </c>
      <c r="H307" s="1" t="s">
        <v>147</v>
      </c>
      <c r="J307" s="1" t="s">
        <v>80</v>
      </c>
      <c r="K307" s="1" t="str">
        <f>IF(TRIM(sales_dataset[[#This Row],[Region]])="", J309, PROPER(TRIM(sales_dataset[[#This Row],[Region]])))</f>
        <v>East</v>
      </c>
      <c r="N307" s="1" t="s">
        <v>56</v>
      </c>
      <c r="Q307" s="1" t="s">
        <v>32</v>
      </c>
      <c r="R307" s="1" t="str">
        <f>IF(TRIM(sales_dataset[[#This Row],[ProductCategory]])="", R325, PROPER(TRIM(sales_dataset[[#This Row],[ProductCategory]])))</f>
        <v>Electronics</v>
      </c>
      <c r="T307" s="1" t="s">
        <v>23</v>
      </c>
      <c r="V307">
        <v>4</v>
      </c>
      <c r="W307" t="str">
        <f>IF(TRIM(sales_dataset[[#This Row],[Quantity]])="",V313,PROPER(TRIM(sales_dataset[[#This Row],[Quantity]])))</f>
        <v>4</v>
      </c>
      <c r="Y307">
        <v>2000</v>
      </c>
      <c r="Z307" t="str">
        <f>IF(TRIM(sales_dataset[[#This Row],[UnitPrice]])="",Y309,PROPER(TRIM(sales_dataset[[#This Row],[UnitPrice]])))</f>
        <v>2000</v>
      </c>
      <c r="AB307">
        <v>4000</v>
      </c>
      <c r="AC307" s="1" t="str">
        <f>IF(TRIM(sales_dataset[[#This Row],[TotalRevenue]])="",AB309,PROPER(TRIM(sales_dataset[[#This Row],[TotalRevenue]])))</f>
        <v>4000</v>
      </c>
      <c r="AD307" s="1">
        <f>ABS(sales_dataset[[#This Row],[Column5]])</f>
        <v>4000</v>
      </c>
      <c r="AE307" s="1">
        <f>sales_dataset[[#This Row],[Column17]]*sales_dataset[[#This Row],[Column16]]</f>
        <v>0</v>
      </c>
    </row>
    <row r="308" spans="3:31" x14ac:dyDescent="0.3">
      <c r="C308" s="1" t="s">
        <v>16</v>
      </c>
      <c r="F308" s="1" t="s">
        <v>19</v>
      </c>
      <c r="H308" s="1" t="s">
        <v>73</v>
      </c>
      <c r="J308" s="1" t="s">
        <v>66</v>
      </c>
      <c r="K308" s="1" t="str">
        <f>IF(TRIM(sales_dataset[[#This Row],[Region]])="", J310, PROPER(TRIM(sales_dataset[[#This Row],[Region]])))</f>
        <v>West</v>
      </c>
      <c r="N308" s="1" t="s">
        <v>56</v>
      </c>
      <c r="Q308" s="1" t="s">
        <v>82</v>
      </c>
      <c r="R308" s="1" t="str">
        <f>IF(TRIM(sales_dataset[[#This Row],[ProductCategory]])="", R326, PROPER(TRIM(sales_dataset[[#This Row],[ProductCategory]])))</f>
        <v>Electronics</v>
      </c>
      <c r="T308" s="1" t="s">
        <v>87</v>
      </c>
      <c r="V308">
        <v>1</v>
      </c>
      <c r="W308" t="str">
        <f>IF(TRIM(sales_dataset[[#This Row],[Quantity]])="",V314,PROPER(TRIM(sales_dataset[[#This Row],[Quantity]])))</f>
        <v>1</v>
      </c>
      <c r="Z308">
        <f>IF(TRIM(sales_dataset[[#This Row],[UnitPrice]])="",Y310,PROPER(TRIM(sales_dataset[[#This Row],[UnitPrice]])))</f>
        <v>2000</v>
      </c>
      <c r="AC308" s="1">
        <f>IF(TRIM(sales_dataset[[#This Row],[TotalRevenue]])="",AB310,PROPER(TRIM(sales_dataset[[#This Row],[TotalRevenue]])))</f>
        <v>8000</v>
      </c>
      <c r="AD308" s="1">
        <f>ABS(sales_dataset[[#This Row],[Column5]])</f>
        <v>8000</v>
      </c>
      <c r="AE308" s="1">
        <f>sales_dataset[[#This Row],[Column17]]*sales_dataset[[#This Row],[Column16]]</f>
        <v>0</v>
      </c>
    </row>
    <row r="309" spans="3:31" x14ac:dyDescent="0.3">
      <c r="C309" s="1" t="s">
        <v>25</v>
      </c>
      <c r="F309" s="1" t="s">
        <v>72</v>
      </c>
      <c r="H309" s="1" t="s">
        <v>54</v>
      </c>
      <c r="J309" s="1" t="s">
        <v>37</v>
      </c>
      <c r="K309" s="1" t="str">
        <f>IF(TRIM(sales_dataset[[#This Row],[Region]])="", J311, PROPER(TRIM(sales_dataset[[#This Row],[Region]])))</f>
        <v>North</v>
      </c>
      <c r="N309" s="1" t="s">
        <v>19</v>
      </c>
      <c r="Q309" s="1" t="s">
        <v>63</v>
      </c>
      <c r="R309" s="1" t="str">
        <f>IF(TRIM(sales_dataset[[#This Row],[ProductCategory]])="", R327, PROPER(TRIM(sales_dataset[[#This Row],[ProductCategory]])))</f>
        <v>Clothing</v>
      </c>
      <c r="T309" s="1" t="s">
        <v>23</v>
      </c>
      <c r="V309">
        <v>4</v>
      </c>
      <c r="W309" t="str">
        <f>IF(TRIM(sales_dataset[[#This Row],[Quantity]])="",V315,PROPER(TRIM(sales_dataset[[#This Row],[Quantity]])))</f>
        <v>4</v>
      </c>
      <c r="Y309">
        <v>500</v>
      </c>
      <c r="Z309" t="str">
        <f>IF(TRIM(sales_dataset[[#This Row],[UnitPrice]])="",Y311,PROPER(TRIM(sales_dataset[[#This Row],[UnitPrice]])))</f>
        <v>500</v>
      </c>
      <c r="AB309">
        <v>1000</v>
      </c>
      <c r="AC309" s="1" t="str">
        <f>IF(TRIM(sales_dataset[[#This Row],[TotalRevenue]])="",AB311,PROPER(TRIM(sales_dataset[[#This Row],[TotalRevenue]])))</f>
        <v>1000</v>
      </c>
      <c r="AD309" s="1">
        <f>ABS(sales_dataset[[#This Row],[Column5]])</f>
        <v>1000</v>
      </c>
      <c r="AE309" s="1">
        <f>sales_dataset[[#This Row],[Column17]]*sales_dataset[[#This Row],[Column16]]</f>
        <v>0</v>
      </c>
    </row>
    <row r="310" spans="3:31" x14ac:dyDescent="0.3">
      <c r="C310" s="1" t="s">
        <v>35</v>
      </c>
      <c r="F310" s="1" t="s">
        <v>118</v>
      </c>
      <c r="H310" s="1" t="s">
        <v>28</v>
      </c>
      <c r="J310" s="1" t="s">
        <v>46</v>
      </c>
      <c r="K310" s="1" t="str">
        <f>IF(TRIM(sales_dataset[[#This Row],[Region]])="", J312, PROPER(TRIM(sales_dataset[[#This Row],[Region]])))</f>
        <v>North</v>
      </c>
      <c r="N310" s="1" t="s">
        <v>21</v>
      </c>
      <c r="Q310" s="1" t="s">
        <v>19</v>
      </c>
      <c r="R310" s="1" t="str">
        <f>IF(TRIM(sales_dataset[[#This Row],[ProductCategory]])="", R328, PROPER(TRIM(sales_dataset[[#This Row],[ProductCategory]])))</f>
        <v>Electronics</v>
      </c>
      <c r="T310" s="1" t="s">
        <v>69</v>
      </c>
      <c r="V310">
        <v>4</v>
      </c>
      <c r="W310" t="str">
        <f>IF(TRIM(sales_dataset[[#This Row],[Quantity]])="",V316,PROPER(TRIM(sales_dataset[[#This Row],[Quantity]])))</f>
        <v>4</v>
      </c>
      <c r="Y310">
        <v>2000</v>
      </c>
      <c r="Z310" t="str">
        <f>IF(TRIM(sales_dataset[[#This Row],[UnitPrice]])="",Y312,PROPER(TRIM(sales_dataset[[#This Row],[UnitPrice]])))</f>
        <v>2000</v>
      </c>
      <c r="AB310">
        <v>8000</v>
      </c>
      <c r="AC310" s="1" t="str">
        <f>IF(TRIM(sales_dataset[[#This Row],[TotalRevenue]])="",AB312,PROPER(TRIM(sales_dataset[[#This Row],[TotalRevenue]])))</f>
        <v>8000</v>
      </c>
      <c r="AD310" s="1">
        <f>ABS(sales_dataset[[#This Row],[Column5]])</f>
        <v>8000</v>
      </c>
      <c r="AE310" s="1">
        <f>sales_dataset[[#This Row],[Column17]]*sales_dataset[[#This Row],[Column16]]</f>
        <v>0</v>
      </c>
    </row>
    <row r="311" spans="3:31" x14ac:dyDescent="0.3">
      <c r="C311" s="1" t="s">
        <v>43</v>
      </c>
      <c r="F311" s="1" t="s">
        <v>19</v>
      </c>
      <c r="H311" s="1" t="s">
        <v>19</v>
      </c>
      <c r="J311" s="1" t="s">
        <v>37</v>
      </c>
      <c r="K311" s="1" t="str">
        <f>IF(TRIM(sales_dataset[[#This Row],[Region]])="", J313, PROPER(TRIM(sales_dataset[[#This Row],[Region]])))</f>
        <v>North</v>
      </c>
      <c r="N311" s="1" t="s">
        <v>48</v>
      </c>
      <c r="Q311" s="1" t="s">
        <v>32</v>
      </c>
      <c r="R311" s="1" t="str">
        <f>IF(TRIM(sales_dataset[[#This Row],[ProductCategory]])="", R329, PROPER(TRIM(sales_dataset[[#This Row],[ProductCategory]])))</f>
        <v>Electronics</v>
      </c>
      <c r="T311" s="1" t="s">
        <v>33</v>
      </c>
      <c r="V311">
        <v>1</v>
      </c>
      <c r="W311" t="str">
        <f>IF(TRIM(sales_dataset[[#This Row],[Quantity]])="",V317,PROPER(TRIM(sales_dataset[[#This Row],[Quantity]])))</f>
        <v>1</v>
      </c>
      <c r="Y311">
        <v>2500</v>
      </c>
      <c r="Z311" t="str">
        <f>IF(TRIM(sales_dataset[[#This Row],[UnitPrice]])="",Y313,PROPER(TRIM(sales_dataset[[#This Row],[UnitPrice]])))</f>
        <v>2500</v>
      </c>
      <c r="AB311">
        <v>2500</v>
      </c>
      <c r="AC311" s="1" t="str">
        <f>IF(TRIM(sales_dataset[[#This Row],[TotalRevenue]])="",AB313,PROPER(TRIM(sales_dataset[[#This Row],[TotalRevenue]])))</f>
        <v>2500</v>
      </c>
      <c r="AD311" s="1">
        <f>ABS(sales_dataset[[#This Row],[Column5]])</f>
        <v>2500</v>
      </c>
      <c r="AE311" s="1">
        <f>sales_dataset[[#This Row],[Column17]]*sales_dataset[[#This Row],[Column16]]</f>
        <v>0</v>
      </c>
    </row>
    <row r="312" spans="3:31" x14ac:dyDescent="0.3">
      <c r="C312" s="1" t="s">
        <v>51</v>
      </c>
      <c r="F312" s="1" t="s">
        <v>18</v>
      </c>
      <c r="H312" s="1" t="s">
        <v>45</v>
      </c>
      <c r="J312" s="1" t="s">
        <v>98</v>
      </c>
      <c r="K312" s="1" t="str">
        <f>IF(TRIM(sales_dataset[[#This Row],[Region]])="", J314, PROPER(TRIM(sales_dataset[[#This Row],[Region]])))</f>
        <v>South</v>
      </c>
      <c r="N312" s="1" t="s">
        <v>30</v>
      </c>
      <c r="Q312" s="1" t="s">
        <v>32</v>
      </c>
      <c r="R312" s="1" t="str">
        <f>IF(TRIM(sales_dataset[[#This Row],[ProductCategory]])="", R330, PROPER(TRIM(sales_dataset[[#This Row],[ProductCategory]])))</f>
        <v>Electronics</v>
      </c>
      <c r="T312" s="1" t="s">
        <v>76</v>
      </c>
      <c r="V312">
        <v>1</v>
      </c>
      <c r="W312" t="str">
        <f>IF(TRIM(sales_dataset[[#This Row],[Quantity]])="",V318,PROPER(TRIM(sales_dataset[[#This Row],[Quantity]])))</f>
        <v>1</v>
      </c>
      <c r="Y312">
        <v>2500</v>
      </c>
      <c r="Z312" t="str">
        <f>IF(TRIM(sales_dataset[[#This Row],[UnitPrice]])="",Y314,PROPER(TRIM(sales_dataset[[#This Row],[UnitPrice]])))</f>
        <v>2500</v>
      </c>
      <c r="AB312">
        <v>2500</v>
      </c>
      <c r="AC312" s="1" t="str">
        <f>IF(TRIM(sales_dataset[[#This Row],[TotalRevenue]])="",AB314,PROPER(TRIM(sales_dataset[[#This Row],[TotalRevenue]])))</f>
        <v>2500</v>
      </c>
      <c r="AD312" s="1">
        <f>ABS(sales_dataset[[#This Row],[Column5]])</f>
        <v>2500</v>
      </c>
      <c r="AE312" s="1">
        <f>sales_dataset[[#This Row],[Column17]]*sales_dataset[[#This Row],[Column16]]</f>
        <v>0</v>
      </c>
    </row>
    <row r="313" spans="3:31" x14ac:dyDescent="0.3">
      <c r="C313" s="1" t="s">
        <v>19</v>
      </c>
      <c r="F313" s="1" t="s">
        <v>72</v>
      </c>
      <c r="H313" s="1" t="s">
        <v>147</v>
      </c>
      <c r="J313" s="1" t="s">
        <v>19</v>
      </c>
      <c r="K313" s="1" t="str">
        <f>IF(TRIM(sales_dataset[[#This Row],[Region]])="", J315, PROPER(TRIM(sales_dataset[[#This Row],[Region]])))</f>
        <v>East</v>
      </c>
      <c r="N313" s="1" t="s">
        <v>48</v>
      </c>
      <c r="Q313" s="1" t="s">
        <v>32</v>
      </c>
      <c r="R313" s="1" t="str">
        <f>IF(TRIM(sales_dataset[[#This Row],[ProductCategory]])="", R331, PROPER(TRIM(sales_dataset[[#This Row],[ProductCategory]])))</f>
        <v>Electronics</v>
      </c>
      <c r="T313" s="1" t="s">
        <v>95</v>
      </c>
      <c r="V313">
        <v>3</v>
      </c>
      <c r="W313" t="str">
        <f>IF(TRIM(sales_dataset[[#This Row],[Quantity]])="",V319,PROPER(TRIM(sales_dataset[[#This Row],[Quantity]])))</f>
        <v>3</v>
      </c>
      <c r="Y313">
        <v>2500</v>
      </c>
      <c r="Z313" t="str">
        <f>IF(TRIM(sales_dataset[[#This Row],[UnitPrice]])="",Y315,PROPER(TRIM(sales_dataset[[#This Row],[UnitPrice]])))</f>
        <v>2500</v>
      </c>
      <c r="AB313">
        <v>7500</v>
      </c>
      <c r="AC313" s="1" t="str">
        <f>IF(TRIM(sales_dataset[[#This Row],[TotalRevenue]])="",AB315,PROPER(TRIM(sales_dataset[[#This Row],[TotalRevenue]])))</f>
        <v>7500</v>
      </c>
      <c r="AD313" s="1">
        <f>ABS(sales_dataset[[#This Row],[Column5]])</f>
        <v>7500</v>
      </c>
      <c r="AE313" s="1">
        <f>sales_dataset[[#This Row],[Column17]]*sales_dataset[[#This Row],[Column16]]</f>
        <v>0</v>
      </c>
    </row>
    <row r="314" spans="3:31" x14ac:dyDescent="0.3">
      <c r="C314" s="1" t="s">
        <v>16</v>
      </c>
      <c r="F314" s="1" t="s">
        <v>53</v>
      </c>
      <c r="H314" s="1" t="s">
        <v>19</v>
      </c>
      <c r="J314" s="1" t="s">
        <v>66</v>
      </c>
      <c r="K314" s="1" t="str">
        <f>IF(TRIM(sales_dataset[[#This Row],[Region]])="", J316, PROPER(TRIM(sales_dataset[[#This Row],[Region]])))</f>
        <v>West</v>
      </c>
      <c r="N314" s="1" t="s">
        <v>30</v>
      </c>
      <c r="Q314" s="1" t="s">
        <v>82</v>
      </c>
      <c r="R314" s="1" t="str">
        <f>IF(TRIM(sales_dataset[[#This Row],[ProductCategory]])="", R332, PROPER(TRIM(sales_dataset[[#This Row],[ProductCategory]])))</f>
        <v>Electronics</v>
      </c>
      <c r="T314" s="1" t="s">
        <v>76</v>
      </c>
      <c r="W314">
        <f>IF(TRIM(sales_dataset[[#This Row],[Quantity]])="",V320,PROPER(TRIM(sales_dataset[[#This Row],[Quantity]])))</f>
        <v>5</v>
      </c>
      <c r="Y314">
        <v>-100</v>
      </c>
      <c r="Z314" t="str">
        <f>IF(TRIM(sales_dataset[[#This Row],[UnitPrice]])="",Y316,PROPER(TRIM(sales_dataset[[#This Row],[UnitPrice]])))</f>
        <v>-100</v>
      </c>
      <c r="AC314" s="1">
        <f>IF(TRIM(sales_dataset[[#This Row],[TotalRevenue]])="",AB316,PROPER(TRIM(sales_dataset[[#This Row],[TotalRevenue]])))</f>
        <v>2500</v>
      </c>
      <c r="AD314" s="1">
        <f>ABS(sales_dataset[[#This Row],[Column5]])</f>
        <v>2500</v>
      </c>
      <c r="AE314" s="1">
        <f>sales_dataset[[#This Row],[Column17]]*sales_dataset[[#This Row],[Column16]]</f>
        <v>0</v>
      </c>
    </row>
    <row r="315" spans="3:31" x14ac:dyDescent="0.3">
      <c r="C315" s="1" t="s">
        <v>25</v>
      </c>
      <c r="F315" s="1" t="s">
        <v>72</v>
      </c>
      <c r="H315" s="1" t="s">
        <v>79</v>
      </c>
      <c r="J315" s="1" t="s">
        <v>80</v>
      </c>
      <c r="K315" s="1" t="str">
        <f>IF(TRIM(sales_dataset[[#This Row],[Region]])="", J317, PROPER(TRIM(sales_dataset[[#This Row],[Region]])))</f>
        <v>East</v>
      </c>
      <c r="N315" s="1" t="s">
        <v>39</v>
      </c>
      <c r="Q315" s="1" t="s">
        <v>32</v>
      </c>
      <c r="R315" s="1" t="str">
        <f>IF(TRIM(sales_dataset[[#This Row],[ProductCategory]])="", R333, PROPER(TRIM(sales_dataset[[#This Row],[ProductCategory]])))</f>
        <v>Electronics</v>
      </c>
      <c r="T315" s="1" t="s">
        <v>69</v>
      </c>
      <c r="V315">
        <v>3</v>
      </c>
      <c r="W315" t="str">
        <f>IF(TRIM(sales_dataset[[#This Row],[Quantity]])="",V321,PROPER(TRIM(sales_dataset[[#This Row],[Quantity]])))</f>
        <v>3</v>
      </c>
      <c r="Y315">
        <v>500</v>
      </c>
      <c r="Z315" t="str">
        <f>IF(TRIM(sales_dataset[[#This Row],[UnitPrice]])="",Y317,PROPER(TRIM(sales_dataset[[#This Row],[UnitPrice]])))</f>
        <v>500</v>
      </c>
      <c r="AB315">
        <v>1500</v>
      </c>
      <c r="AC315" s="1" t="str">
        <f>IF(TRIM(sales_dataset[[#This Row],[TotalRevenue]])="",AB317,PROPER(TRIM(sales_dataset[[#This Row],[TotalRevenue]])))</f>
        <v>1500</v>
      </c>
      <c r="AD315" s="1">
        <f>ABS(sales_dataset[[#This Row],[Column5]])</f>
        <v>1500</v>
      </c>
      <c r="AE315" s="1">
        <f>sales_dataset[[#This Row],[Column17]]*sales_dataset[[#This Row],[Column16]]</f>
        <v>0</v>
      </c>
    </row>
    <row r="316" spans="3:31" x14ac:dyDescent="0.3">
      <c r="C316" s="1" t="s">
        <v>35</v>
      </c>
      <c r="F316" s="1" t="s">
        <v>118</v>
      </c>
      <c r="H316" s="1" t="s">
        <v>54</v>
      </c>
      <c r="J316" s="1" t="s">
        <v>80</v>
      </c>
      <c r="K316" s="1" t="str">
        <f>IF(TRIM(sales_dataset[[#This Row],[Region]])="", J318, PROPER(TRIM(sales_dataset[[#This Row],[Region]])))</f>
        <v>East</v>
      </c>
      <c r="N316" s="1" t="s">
        <v>39</v>
      </c>
      <c r="Q316" s="1" t="s">
        <v>32</v>
      </c>
      <c r="R316" s="1" t="str">
        <f>IF(TRIM(sales_dataset[[#This Row],[ProductCategory]])="", R334, PROPER(TRIM(sales_dataset[[#This Row],[ProductCategory]])))</f>
        <v>Electronics</v>
      </c>
      <c r="T316" s="1" t="s">
        <v>19</v>
      </c>
      <c r="V316">
        <v>1</v>
      </c>
      <c r="W316" t="str">
        <f>IF(TRIM(sales_dataset[[#This Row],[Quantity]])="",V322,PROPER(TRIM(sales_dataset[[#This Row],[Quantity]])))</f>
        <v>1</v>
      </c>
      <c r="Y316">
        <v>2500</v>
      </c>
      <c r="Z316" t="str">
        <f>IF(TRIM(sales_dataset[[#This Row],[UnitPrice]])="",Y318,PROPER(TRIM(sales_dataset[[#This Row],[UnitPrice]])))</f>
        <v>2500</v>
      </c>
      <c r="AB316">
        <v>2500</v>
      </c>
      <c r="AC316" s="1" t="str">
        <f>IF(TRIM(sales_dataset[[#This Row],[TotalRevenue]])="",AB318,PROPER(TRIM(sales_dataset[[#This Row],[TotalRevenue]])))</f>
        <v>2500</v>
      </c>
      <c r="AD316" s="1">
        <f>ABS(sales_dataset[[#This Row],[Column5]])</f>
        <v>2500</v>
      </c>
      <c r="AE316" s="1">
        <f>sales_dataset[[#This Row],[Column17]]*sales_dataset[[#This Row],[Column16]]</f>
        <v>0</v>
      </c>
    </row>
    <row r="317" spans="3:31" x14ac:dyDescent="0.3">
      <c r="C317" s="1" t="s">
        <v>43</v>
      </c>
      <c r="F317" s="1" t="s">
        <v>18</v>
      </c>
      <c r="H317" s="1" t="s">
        <v>73</v>
      </c>
      <c r="J317" s="1" t="s">
        <v>66</v>
      </c>
      <c r="K317" s="1" t="str">
        <f>IF(TRIM(sales_dataset[[#This Row],[Region]])="", J319, PROPER(TRIM(sales_dataset[[#This Row],[Region]])))</f>
        <v>West</v>
      </c>
      <c r="N317" s="1" t="s">
        <v>19</v>
      </c>
      <c r="Q317" s="1" t="s">
        <v>63</v>
      </c>
      <c r="R317" s="1" t="str">
        <f>IF(TRIM(sales_dataset[[#This Row],[ProductCategory]])="", R335, PROPER(TRIM(sales_dataset[[#This Row],[ProductCategory]])))</f>
        <v>Clothing</v>
      </c>
      <c r="T317" s="1" t="s">
        <v>76</v>
      </c>
      <c r="W317">
        <f>IF(TRIM(sales_dataset[[#This Row],[Quantity]])="",V323,PROPER(TRIM(sales_dataset[[#This Row],[Quantity]])))</f>
        <v>5</v>
      </c>
      <c r="Y317">
        <v>1500</v>
      </c>
      <c r="Z317" t="str">
        <f>IF(TRIM(sales_dataset[[#This Row],[UnitPrice]])="",Y319,PROPER(TRIM(sales_dataset[[#This Row],[UnitPrice]])))</f>
        <v>1500</v>
      </c>
      <c r="AC317" s="1">
        <f>IF(TRIM(sales_dataset[[#This Row],[TotalRevenue]])="",AB319,PROPER(TRIM(sales_dataset[[#This Row],[TotalRevenue]])))</f>
        <v>0</v>
      </c>
      <c r="AD317" s="1">
        <f>ABS(sales_dataset[[#This Row],[Column5]])</f>
        <v>0</v>
      </c>
      <c r="AE317" s="1">
        <f>sales_dataset[[#This Row],[Column17]]*sales_dataset[[#This Row],[Column16]]</f>
        <v>0</v>
      </c>
    </row>
    <row r="318" spans="3:31" x14ac:dyDescent="0.3">
      <c r="C318" s="1" t="s">
        <v>51</v>
      </c>
      <c r="F318" s="1" t="s">
        <v>53</v>
      </c>
      <c r="H318" s="1" t="s">
        <v>147</v>
      </c>
      <c r="J318" s="1" t="s">
        <v>46</v>
      </c>
      <c r="K318" s="1" t="str">
        <f>IF(TRIM(sales_dataset[[#This Row],[Region]])="", J320, PROPER(TRIM(sales_dataset[[#This Row],[Region]])))</f>
        <v>North</v>
      </c>
      <c r="N318" s="1" t="s">
        <v>48</v>
      </c>
      <c r="Q318" s="1" t="s">
        <v>41</v>
      </c>
      <c r="R318" s="1" t="str">
        <f>IF(TRIM(sales_dataset[[#This Row],[ProductCategory]])="", R336, PROPER(TRIM(sales_dataset[[#This Row],[ProductCategory]])))</f>
        <v>Home</v>
      </c>
      <c r="T318" s="1" t="s">
        <v>95</v>
      </c>
      <c r="V318">
        <v>-1</v>
      </c>
      <c r="W318" t="str">
        <f>IF(TRIM(sales_dataset[[#This Row],[Quantity]])="",V324,PROPER(TRIM(sales_dataset[[#This Row],[Quantity]])))</f>
        <v>-1</v>
      </c>
      <c r="Z318">
        <f>IF(TRIM(sales_dataset[[#This Row],[UnitPrice]])="",Y320,PROPER(TRIM(sales_dataset[[#This Row],[UnitPrice]])))</f>
        <v>1500</v>
      </c>
      <c r="AC318" s="1">
        <f>IF(TRIM(sales_dataset[[#This Row],[TotalRevenue]])="",AB320,PROPER(TRIM(sales_dataset[[#This Row],[TotalRevenue]])))</f>
        <v>7500</v>
      </c>
      <c r="AD318" s="1">
        <f>ABS(sales_dataset[[#This Row],[Column5]])</f>
        <v>7500</v>
      </c>
      <c r="AE318" s="1">
        <f>sales_dataset[[#This Row],[Column17]]*sales_dataset[[#This Row],[Column16]]</f>
        <v>0</v>
      </c>
    </row>
    <row r="319" spans="3:31" x14ac:dyDescent="0.3">
      <c r="C319" s="1" t="s">
        <v>19</v>
      </c>
      <c r="F319" s="1" t="s">
        <v>19</v>
      </c>
      <c r="H319" s="1" t="s">
        <v>19</v>
      </c>
      <c r="J319" s="1" t="s">
        <v>37</v>
      </c>
      <c r="K319" s="1" t="str">
        <f>IF(TRIM(sales_dataset[[#This Row],[Region]])="", J321, PROPER(TRIM(sales_dataset[[#This Row],[Region]])))</f>
        <v>North</v>
      </c>
      <c r="N319" s="1" t="s">
        <v>56</v>
      </c>
      <c r="Q319" s="1" t="s">
        <v>63</v>
      </c>
      <c r="R319" s="1" t="str">
        <f>IF(TRIM(sales_dataset[[#This Row],[ProductCategory]])="", R337, PROPER(TRIM(sales_dataset[[#This Row],[ProductCategory]])))</f>
        <v>Clothing</v>
      </c>
      <c r="T319" s="1" t="s">
        <v>95</v>
      </c>
      <c r="W319">
        <f>IF(TRIM(sales_dataset[[#This Row],[Quantity]])="",V325,PROPER(TRIM(sales_dataset[[#This Row],[Quantity]])))</f>
        <v>5</v>
      </c>
      <c r="Y319">
        <v>1500</v>
      </c>
      <c r="Z319" t="str">
        <f>IF(TRIM(sales_dataset[[#This Row],[UnitPrice]])="",Y321,PROPER(TRIM(sales_dataset[[#This Row],[UnitPrice]])))</f>
        <v>1500</v>
      </c>
      <c r="AC319" s="1">
        <f>IF(TRIM(sales_dataset[[#This Row],[TotalRevenue]])="",AB321,PROPER(TRIM(sales_dataset[[#This Row],[TotalRevenue]])))</f>
        <v>100</v>
      </c>
      <c r="AD319" s="1">
        <f>ABS(sales_dataset[[#This Row],[Column5]])</f>
        <v>100</v>
      </c>
      <c r="AE319" s="1">
        <f>sales_dataset[[#This Row],[Column17]]*sales_dataset[[#This Row],[Column16]]</f>
        <v>0</v>
      </c>
    </row>
    <row r="320" spans="3:31" x14ac:dyDescent="0.3">
      <c r="C320" s="1" t="s">
        <v>16</v>
      </c>
      <c r="F320" s="1" t="s">
        <v>53</v>
      </c>
      <c r="H320" s="1" t="s">
        <v>73</v>
      </c>
      <c r="J320" s="1" t="s">
        <v>98</v>
      </c>
      <c r="K320" s="1" t="str">
        <f>IF(TRIM(sales_dataset[[#This Row],[Region]])="", J322, PROPER(TRIM(sales_dataset[[#This Row],[Region]])))</f>
        <v>South</v>
      </c>
      <c r="N320" s="1" t="s">
        <v>21</v>
      </c>
      <c r="Q320" s="1" t="s">
        <v>63</v>
      </c>
      <c r="R320" s="1" t="str">
        <f>IF(TRIM(sales_dataset[[#This Row],[ProductCategory]])="", R338, PROPER(TRIM(sales_dataset[[#This Row],[ProductCategory]])))</f>
        <v>Clothing</v>
      </c>
      <c r="T320" s="1" t="s">
        <v>33</v>
      </c>
      <c r="V320">
        <v>5</v>
      </c>
      <c r="W320" t="str">
        <f>IF(TRIM(sales_dataset[[#This Row],[Quantity]])="",V326,PROPER(TRIM(sales_dataset[[#This Row],[Quantity]])))</f>
        <v>5</v>
      </c>
      <c r="Y320">
        <v>1500</v>
      </c>
      <c r="Z320" t="str">
        <f>IF(TRIM(sales_dataset[[#This Row],[UnitPrice]])="",Y322,PROPER(TRIM(sales_dataset[[#This Row],[UnitPrice]])))</f>
        <v>1500</v>
      </c>
      <c r="AB320">
        <v>7500</v>
      </c>
      <c r="AC320" s="1" t="str">
        <f>IF(TRIM(sales_dataset[[#This Row],[TotalRevenue]])="",AB322,PROPER(TRIM(sales_dataset[[#This Row],[TotalRevenue]])))</f>
        <v>7500</v>
      </c>
      <c r="AD320" s="1">
        <f>ABS(sales_dataset[[#This Row],[Column5]])</f>
        <v>7500</v>
      </c>
      <c r="AE320" s="1">
        <f>sales_dataset[[#This Row],[Column17]]*sales_dataset[[#This Row],[Column16]]</f>
        <v>0</v>
      </c>
    </row>
    <row r="321" spans="3:31" x14ac:dyDescent="0.3">
      <c r="C321" s="1" t="s">
        <v>25</v>
      </c>
      <c r="F321" s="1" t="s">
        <v>19</v>
      </c>
      <c r="H321" s="1" t="s">
        <v>28</v>
      </c>
      <c r="J321" s="1" t="s">
        <v>37</v>
      </c>
      <c r="K321" s="1" t="str">
        <f>IF(TRIM(sales_dataset[[#This Row],[Region]])="", J323, PROPER(TRIM(sales_dataset[[#This Row],[Region]])))</f>
        <v>North</v>
      </c>
      <c r="N321" s="1" t="s">
        <v>30</v>
      </c>
      <c r="Q321" s="1" t="s">
        <v>41</v>
      </c>
      <c r="R321" s="1" t="str">
        <f>IF(TRIM(sales_dataset[[#This Row],[ProductCategory]])="", R339, PROPER(TRIM(sales_dataset[[#This Row],[ProductCategory]])))</f>
        <v>Home</v>
      </c>
      <c r="T321" s="1" t="s">
        <v>33</v>
      </c>
      <c r="V321">
        <v>-1</v>
      </c>
      <c r="W321" t="str">
        <f>IF(TRIM(sales_dataset[[#This Row],[Quantity]])="",V327,PROPER(TRIM(sales_dataset[[#This Row],[Quantity]])))</f>
        <v>-1</v>
      </c>
      <c r="Y321">
        <v>-100</v>
      </c>
      <c r="Z321" t="str">
        <f>IF(TRIM(sales_dataset[[#This Row],[UnitPrice]])="",Y323,PROPER(TRIM(sales_dataset[[#This Row],[UnitPrice]])))</f>
        <v>-100</v>
      </c>
      <c r="AB321">
        <v>100</v>
      </c>
      <c r="AC321" s="1" t="str">
        <f>IF(TRIM(sales_dataset[[#This Row],[TotalRevenue]])="",AB323,PROPER(TRIM(sales_dataset[[#This Row],[TotalRevenue]])))</f>
        <v>100</v>
      </c>
      <c r="AD321" s="1">
        <f>ABS(sales_dataset[[#This Row],[Column5]])</f>
        <v>100</v>
      </c>
      <c r="AE321" s="1">
        <f>sales_dataset[[#This Row],[Column17]]*sales_dataset[[#This Row],[Column16]]</f>
        <v>0</v>
      </c>
    </row>
    <row r="322" spans="3:31" x14ac:dyDescent="0.3">
      <c r="C322" s="1" t="s">
        <v>35</v>
      </c>
      <c r="F322" s="1" t="s">
        <v>53</v>
      </c>
      <c r="H322" s="1" t="s">
        <v>147</v>
      </c>
      <c r="J322" s="1" t="s">
        <v>80</v>
      </c>
      <c r="K322" s="1" t="str">
        <f>IF(TRIM(sales_dataset[[#This Row],[Region]])="", J324, PROPER(TRIM(sales_dataset[[#This Row],[Region]])))</f>
        <v>East</v>
      </c>
      <c r="N322" s="1" t="s">
        <v>30</v>
      </c>
      <c r="Q322" s="1" t="s">
        <v>41</v>
      </c>
      <c r="R322" s="1" t="str">
        <f>IF(TRIM(sales_dataset[[#This Row],[ProductCategory]])="", R340, PROPER(TRIM(sales_dataset[[#This Row],[ProductCategory]])))</f>
        <v>Home</v>
      </c>
      <c r="T322" s="1" t="s">
        <v>69</v>
      </c>
      <c r="W322">
        <f>IF(TRIM(sales_dataset[[#This Row],[Quantity]])="",V328,PROPER(TRIM(sales_dataset[[#This Row],[Quantity]])))</f>
        <v>-1</v>
      </c>
      <c r="Y322">
        <v>2500</v>
      </c>
      <c r="Z322" t="str">
        <f>IF(TRIM(sales_dataset[[#This Row],[UnitPrice]])="",Y324,PROPER(TRIM(sales_dataset[[#This Row],[UnitPrice]])))</f>
        <v>2500</v>
      </c>
      <c r="AC322" s="1">
        <f>IF(TRIM(sales_dataset[[#This Row],[TotalRevenue]])="",AB324,PROPER(TRIM(sales_dataset[[#This Row],[TotalRevenue]])))</f>
        <v>0</v>
      </c>
      <c r="AD322" s="1">
        <f>ABS(sales_dataset[[#This Row],[Column5]])</f>
        <v>0</v>
      </c>
      <c r="AE322" s="1">
        <f>sales_dataset[[#This Row],[Column17]]*sales_dataset[[#This Row],[Column16]]</f>
        <v>0</v>
      </c>
    </row>
    <row r="323" spans="3:31" x14ac:dyDescent="0.3">
      <c r="C323" s="1" t="s">
        <v>43</v>
      </c>
      <c r="F323" s="1" t="s">
        <v>53</v>
      </c>
      <c r="H323" s="1" t="s">
        <v>45</v>
      </c>
      <c r="J323" s="1" t="s">
        <v>66</v>
      </c>
      <c r="K323" s="1" t="str">
        <f>IF(TRIM(sales_dataset[[#This Row],[Region]])="", J325, PROPER(TRIM(sales_dataset[[#This Row],[Region]])))</f>
        <v>West</v>
      </c>
      <c r="N323" s="1" t="s">
        <v>19</v>
      </c>
      <c r="Q323" s="1" t="s">
        <v>32</v>
      </c>
      <c r="R323" s="1" t="str">
        <f>IF(TRIM(sales_dataset[[#This Row],[ProductCategory]])="", R341, PROPER(TRIM(sales_dataset[[#This Row],[ProductCategory]])))</f>
        <v>Electronics</v>
      </c>
      <c r="T323" s="1" t="s">
        <v>19</v>
      </c>
      <c r="V323">
        <v>5</v>
      </c>
      <c r="W323" t="str">
        <f>IF(TRIM(sales_dataset[[#This Row],[Quantity]])="",V329,PROPER(TRIM(sales_dataset[[#This Row],[Quantity]])))</f>
        <v>5</v>
      </c>
      <c r="Z323">
        <f>IF(TRIM(sales_dataset[[#This Row],[UnitPrice]])="",Y325,PROPER(TRIM(sales_dataset[[#This Row],[UnitPrice]])))</f>
        <v>-100</v>
      </c>
      <c r="AC323" s="1">
        <f>IF(TRIM(sales_dataset[[#This Row],[TotalRevenue]])="",AB325,PROPER(TRIM(sales_dataset[[#This Row],[TotalRevenue]])))</f>
        <v>-500</v>
      </c>
      <c r="AD323" s="1">
        <f>ABS(sales_dataset[[#This Row],[Column5]])</f>
        <v>500</v>
      </c>
      <c r="AE323" s="1">
        <f>sales_dataset[[#This Row],[Column17]]*sales_dataset[[#This Row],[Column16]]</f>
        <v>0</v>
      </c>
    </row>
    <row r="324" spans="3:31" x14ac:dyDescent="0.3">
      <c r="C324" s="1" t="s">
        <v>51</v>
      </c>
      <c r="F324" s="1" t="s">
        <v>19</v>
      </c>
      <c r="H324" s="1" t="s">
        <v>147</v>
      </c>
      <c r="J324" s="1" t="s">
        <v>80</v>
      </c>
      <c r="K324" s="1" t="str">
        <f>IF(TRIM(sales_dataset[[#This Row],[Region]])="", J326, PROPER(TRIM(sales_dataset[[#This Row],[Region]])))</f>
        <v>East</v>
      </c>
      <c r="N324" s="1" t="s">
        <v>21</v>
      </c>
      <c r="Q324" s="1" t="s">
        <v>63</v>
      </c>
      <c r="R324" s="1" t="str">
        <f>IF(TRIM(sales_dataset[[#This Row],[ProductCategory]])="", R342, PROPER(TRIM(sales_dataset[[#This Row],[ProductCategory]])))</f>
        <v>Clothing</v>
      </c>
      <c r="T324" s="1" t="s">
        <v>33</v>
      </c>
      <c r="W324">
        <f>IF(TRIM(sales_dataset[[#This Row],[Quantity]])="",V330,PROPER(TRIM(sales_dataset[[#This Row],[Quantity]])))</f>
        <v>5</v>
      </c>
      <c r="Y324">
        <v>2000</v>
      </c>
      <c r="Z324" t="str">
        <f>IF(TRIM(sales_dataset[[#This Row],[UnitPrice]])="",Y326,PROPER(TRIM(sales_dataset[[#This Row],[UnitPrice]])))</f>
        <v>2000</v>
      </c>
      <c r="AC324" s="1">
        <f>IF(TRIM(sales_dataset[[#This Row],[TotalRevenue]])="",AB326,PROPER(TRIM(sales_dataset[[#This Row],[TotalRevenue]])))</f>
        <v>3000</v>
      </c>
      <c r="AD324" s="1">
        <f>ABS(sales_dataset[[#This Row],[Column5]])</f>
        <v>3000</v>
      </c>
      <c r="AE324" s="1">
        <f>sales_dataset[[#This Row],[Column17]]*sales_dataset[[#This Row],[Column16]]</f>
        <v>0</v>
      </c>
    </row>
    <row r="325" spans="3:31" x14ac:dyDescent="0.3">
      <c r="C325" s="1" t="s">
        <v>19</v>
      </c>
      <c r="F325" s="1" t="s">
        <v>72</v>
      </c>
      <c r="H325" s="1" t="s">
        <v>45</v>
      </c>
      <c r="J325" s="1" t="s">
        <v>19</v>
      </c>
      <c r="K325" s="1" t="str">
        <f>IF(TRIM(sales_dataset[[#This Row],[Region]])="", J327, PROPER(TRIM(sales_dataset[[#This Row],[Region]])))</f>
        <v>South</v>
      </c>
      <c r="N325" s="1" t="s">
        <v>48</v>
      </c>
      <c r="Q325" s="1" t="s">
        <v>82</v>
      </c>
      <c r="R325" s="1" t="str">
        <f>IF(TRIM(sales_dataset[[#This Row],[ProductCategory]])="", R343, PROPER(TRIM(sales_dataset[[#This Row],[ProductCategory]])))</f>
        <v>Electronics</v>
      </c>
      <c r="T325" s="1" t="s">
        <v>87</v>
      </c>
      <c r="V325">
        <v>5</v>
      </c>
      <c r="W325" t="str">
        <f>IF(TRIM(sales_dataset[[#This Row],[Quantity]])="",V331,PROPER(TRIM(sales_dataset[[#This Row],[Quantity]])))</f>
        <v>5</v>
      </c>
      <c r="Y325">
        <v>-100</v>
      </c>
      <c r="Z325" t="str">
        <f>IF(TRIM(sales_dataset[[#This Row],[UnitPrice]])="",Y327,PROPER(TRIM(sales_dataset[[#This Row],[UnitPrice]])))</f>
        <v>-100</v>
      </c>
      <c r="AB325">
        <v>-500</v>
      </c>
      <c r="AC325" s="1" t="str">
        <f>IF(TRIM(sales_dataset[[#This Row],[TotalRevenue]])="",AB327,PROPER(TRIM(sales_dataset[[#This Row],[TotalRevenue]])))</f>
        <v>-500</v>
      </c>
      <c r="AD325" s="1">
        <f>ABS(sales_dataset[[#This Row],[Column5]])</f>
        <v>500</v>
      </c>
      <c r="AE325" s="1">
        <f>sales_dataset[[#This Row],[Column17]]*sales_dataset[[#This Row],[Column16]]</f>
        <v>0</v>
      </c>
    </row>
    <row r="326" spans="3:31" x14ac:dyDescent="0.3">
      <c r="C326" s="1" t="s">
        <v>16</v>
      </c>
      <c r="F326" s="1" t="s">
        <v>53</v>
      </c>
      <c r="H326" s="1" t="s">
        <v>73</v>
      </c>
      <c r="J326" s="1" t="s">
        <v>80</v>
      </c>
      <c r="K326" s="1" t="str">
        <f>IF(TRIM(sales_dataset[[#This Row],[Region]])="", J328, PROPER(TRIM(sales_dataset[[#This Row],[Region]])))</f>
        <v>East</v>
      </c>
      <c r="N326" s="1" t="s">
        <v>48</v>
      </c>
      <c r="Q326" s="1" t="s">
        <v>19</v>
      </c>
      <c r="R326" s="1" t="str">
        <f>IF(TRIM(sales_dataset[[#This Row],[ProductCategory]])="", R344, PROPER(TRIM(sales_dataset[[#This Row],[ProductCategory]])))</f>
        <v>Electronics</v>
      </c>
      <c r="T326" s="1" t="s">
        <v>19</v>
      </c>
      <c r="V326">
        <v>2</v>
      </c>
      <c r="W326" t="str">
        <f>IF(TRIM(sales_dataset[[#This Row],[Quantity]])="",V332,PROPER(TRIM(sales_dataset[[#This Row],[Quantity]])))</f>
        <v>2</v>
      </c>
      <c r="Y326">
        <v>1500</v>
      </c>
      <c r="Z326" t="str">
        <f>IF(TRIM(sales_dataset[[#This Row],[UnitPrice]])="",Y328,PROPER(TRIM(sales_dataset[[#This Row],[UnitPrice]])))</f>
        <v>1500</v>
      </c>
      <c r="AB326">
        <v>3000</v>
      </c>
      <c r="AC326" s="1" t="str">
        <f>IF(TRIM(sales_dataset[[#This Row],[TotalRevenue]])="",AB328,PROPER(TRIM(sales_dataset[[#This Row],[TotalRevenue]])))</f>
        <v>3000</v>
      </c>
      <c r="AD326" s="1">
        <f>ABS(sales_dataset[[#This Row],[Column5]])</f>
        <v>3000</v>
      </c>
      <c r="AE326" s="1">
        <f>sales_dataset[[#This Row],[Column17]]*sales_dataset[[#This Row],[Column16]]</f>
        <v>0</v>
      </c>
    </row>
    <row r="327" spans="3:31" x14ac:dyDescent="0.3">
      <c r="C327" s="1" t="s">
        <v>25</v>
      </c>
      <c r="F327" s="1" t="s">
        <v>60</v>
      </c>
      <c r="H327" s="1" t="s">
        <v>147</v>
      </c>
      <c r="J327" s="1" t="s">
        <v>98</v>
      </c>
      <c r="K327" s="1" t="str">
        <f>IF(TRIM(sales_dataset[[#This Row],[Region]])="", J329, PROPER(TRIM(sales_dataset[[#This Row],[Region]])))</f>
        <v>South</v>
      </c>
      <c r="N327" s="1" t="s">
        <v>19</v>
      </c>
      <c r="Q327" s="1" t="s">
        <v>19</v>
      </c>
      <c r="R327" s="1" t="str">
        <f>IF(TRIM(sales_dataset[[#This Row],[ProductCategory]])="", R345, PROPER(TRIM(sales_dataset[[#This Row],[ProductCategory]])))</f>
        <v>Electronics</v>
      </c>
      <c r="T327" s="1" t="s">
        <v>87</v>
      </c>
      <c r="W327">
        <f>IF(TRIM(sales_dataset[[#This Row],[Quantity]])="",V333,PROPER(TRIM(sales_dataset[[#This Row],[Quantity]])))</f>
        <v>0</v>
      </c>
      <c r="Y327">
        <v>2000</v>
      </c>
      <c r="Z327" t="str">
        <f>IF(TRIM(sales_dataset[[#This Row],[UnitPrice]])="",Y329,PROPER(TRIM(sales_dataset[[#This Row],[UnitPrice]])))</f>
        <v>2000</v>
      </c>
      <c r="AC327" s="1">
        <f>IF(TRIM(sales_dataset[[#This Row],[TotalRevenue]])="",AB329,PROPER(TRIM(sales_dataset[[#This Row],[TotalRevenue]])))</f>
        <v>-300</v>
      </c>
      <c r="AD327" s="1">
        <f>ABS(sales_dataset[[#This Row],[Column5]])</f>
        <v>300</v>
      </c>
      <c r="AE327" s="1">
        <f>sales_dataset[[#This Row],[Column17]]*sales_dataset[[#This Row],[Column16]]</f>
        <v>0</v>
      </c>
    </row>
    <row r="328" spans="3:31" x14ac:dyDescent="0.3">
      <c r="C328" s="1" t="s">
        <v>35</v>
      </c>
      <c r="F328" s="1" t="s">
        <v>53</v>
      </c>
      <c r="H328" s="1" t="s">
        <v>19</v>
      </c>
      <c r="J328" s="1" t="s">
        <v>46</v>
      </c>
      <c r="K328" s="1" t="str">
        <f>IF(TRIM(sales_dataset[[#This Row],[Region]])="", J330, PROPER(TRIM(sales_dataset[[#This Row],[Region]])))</f>
        <v>North</v>
      </c>
      <c r="N328" s="1" t="s">
        <v>30</v>
      </c>
      <c r="Q328" s="1" t="s">
        <v>19</v>
      </c>
      <c r="R328" s="1" t="str">
        <f>IF(TRIM(sales_dataset[[#This Row],[ProductCategory]])="", R346, PROPER(TRIM(sales_dataset[[#This Row],[ProductCategory]])))</f>
        <v>Electronics</v>
      </c>
      <c r="T328" s="1" t="s">
        <v>23</v>
      </c>
      <c r="V328">
        <v>-1</v>
      </c>
      <c r="W328" t="str">
        <f>IF(TRIM(sales_dataset[[#This Row],[Quantity]])="",V334,PROPER(TRIM(sales_dataset[[#This Row],[Quantity]])))</f>
        <v>-1</v>
      </c>
      <c r="Y328">
        <v>-100</v>
      </c>
      <c r="Z328" t="str">
        <f>IF(TRIM(sales_dataset[[#This Row],[UnitPrice]])="",Y330,PROPER(TRIM(sales_dataset[[#This Row],[UnitPrice]])))</f>
        <v>-100</v>
      </c>
      <c r="AB328">
        <v>100</v>
      </c>
      <c r="AC328" s="1" t="str">
        <f>IF(TRIM(sales_dataset[[#This Row],[TotalRevenue]])="",AB330,PROPER(TRIM(sales_dataset[[#This Row],[TotalRevenue]])))</f>
        <v>100</v>
      </c>
      <c r="AD328" s="1">
        <f>ABS(sales_dataset[[#This Row],[Column5]])</f>
        <v>100</v>
      </c>
      <c r="AE328" s="1">
        <f>sales_dataset[[#This Row],[Column17]]*sales_dataset[[#This Row],[Column16]]</f>
        <v>0</v>
      </c>
    </row>
    <row r="329" spans="3:31" x14ac:dyDescent="0.3">
      <c r="C329" s="1" t="s">
        <v>43</v>
      </c>
      <c r="F329" s="1" t="s">
        <v>53</v>
      </c>
      <c r="H329" s="1" t="s">
        <v>54</v>
      </c>
      <c r="J329" s="1" t="s">
        <v>46</v>
      </c>
      <c r="K329" s="1" t="str">
        <f>IF(TRIM(sales_dataset[[#This Row],[Region]])="", J331, PROPER(TRIM(sales_dataset[[#This Row],[Region]])))</f>
        <v>North</v>
      </c>
      <c r="N329" s="1" t="s">
        <v>39</v>
      </c>
      <c r="Q329" s="1" t="s">
        <v>63</v>
      </c>
      <c r="R329" s="1" t="str">
        <f>IF(TRIM(sales_dataset[[#This Row],[ProductCategory]])="", R347, PROPER(TRIM(sales_dataset[[#This Row],[ProductCategory]])))</f>
        <v>Clothing</v>
      </c>
      <c r="T329" s="1" t="s">
        <v>33</v>
      </c>
      <c r="V329">
        <v>3</v>
      </c>
      <c r="W329" t="str">
        <f>IF(TRIM(sales_dataset[[#This Row],[Quantity]])="",V335,PROPER(TRIM(sales_dataset[[#This Row],[Quantity]])))</f>
        <v>3</v>
      </c>
      <c r="Y329">
        <v>-100</v>
      </c>
      <c r="Z329" t="str">
        <f>IF(TRIM(sales_dataset[[#This Row],[UnitPrice]])="",Y331,PROPER(TRIM(sales_dataset[[#This Row],[UnitPrice]])))</f>
        <v>-100</v>
      </c>
      <c r="AB329">
        <v>-300</v>
      </c>
      <c r="AC329" s="1" t="str">
        <f>IF(TRIM(sales_dataset[[#This Row],[TotalRevenue]])="",AB331,PROPER(TRIM(sales_dataset[[#This Row],[TotalRevenue]])))</f>
        <v>-300</v>
      </c>
      <c r="AD329" s="1">
        <f>ABS(sales_dataset[[#This Row],[Column5]])</f>
        <v>300</v>
      </c>
      <c r="AE329" s="1">
        <f>sales_dataset[[#This Row],[Column17]]*sales_dataset[[#This Row],[Column16]]</f>
        <v>0</v>
      </c>
    </row>
    <row r="330" spans="3:31" x14ac:dyDescent="0.3">
      <c r="C330" s="1" t="s">
        <v>51</v>
      </c>
      <c r="F330" s="1" t="s">
        <v>60</v>
      </c>
      <c r="H330" s="1" t="s">
        <v>79</v>
      </c>
      <c r="J330" s="1" t="s">
        <v>19</v>
      </c>
      <c r="K330" s="1" t="str">
        <f>IF(TRIM(sales_dataset[[#This Row],[Region]])="", J332, PROPER(TRIM(sales_dataset[[#This Row],[Region]])))</f>
        <v>West</v>
      </c>
      <c r="N330" s="1" t="s">
        <v>21</v>
      </c>
      <c r="Q330" s="1" t="s">
        <v>41</v>
      </c>
      <c r="R330" s="1" t="str">
        <f>IF(TRIM(sales_dataset[[#This Row],[ProductCategory]])="", R348, PROPER(TRIM(sales_dataset[[#This Row],[ProductCategory]])))</f>
        <v>Home</v>
      </c>
      <c r="T330" s="1" t="s">
        <v>23</v>
      </c>
      <c r="V330">
        <v>5</v>
      </c>
      <c r="W330" t="str">
        <f>IF(TRIM(sales_dataset[[#This Row],[Quantity]])="",V336,PROPER(TRIM(sales_dataset[[#This Row],[Quantity]])))</f>
        <v>5</v>
      </c>
      <c r="Y330">
        <v>-100</v>
      </c>
      <c r="Z330" t="str">
        <f>IF(TRIM(sales_dataset[[#This Row],[UnitPrice]])="",Y332,PROPER(TRIM(sales_dataset[[#This Row],[UnitPrice]])))</f>
        <v>-100</v>
      </c>
      <c r="AB330">
        <v>-500</v>
      </c>
      <c r="AC330" s="1" t="str">
        <f>IF(TRIM(sales_dataset[[#This Row],[TotalRevenue]])="",AB332,PROPER(TRIM(sales_dataset[[#This Row],[TotalRevenue]])))</f>
        <v>-500</v>
      </c>
      <c r="AD330" s="1">
        <f>ABS(sales_dataset[[#This Row],[Column5]])</f>
        <v>500</v>
      </c>
      <c r="AE330" s="1">
        <f>sales_dataset[[#This Row],[Column17]]*sales_dataset[[#This Row],[Column16]]</f>
        <v>0</v>
      </c>
    </row>
    <row r="331" spans="3:31" x14ac:dyDescent="0.3">
      <c r="C331" s="1" t="s">
        <v>19</v>
      </c>
      <c r="F331" s="1" t="s">
        <v>18</v>
      </c>
      <c r="H331" s="1" t="s">
        <v>54</v>
      </c>
      <c r="J331" s="1" t="s">
        <v>98</v>
      </c>
      <c r="K331" s="1" t="str">
        <f>IF(TRIM(sales_dataset[[#This Row],[Region]])="", J333, PROPER(TRIM(sales_dataset[[#This Row],[Region]])))</f>
        <v>South</v>
      </c>
      <c r="N331" s="1" t="s">
        <v>30</v>
      </c>
      <c r="Q331" s="1" t="s">
        <v>32</v>
      </c>
      <c r="R331" s="1" t="str">
        <f>IF(TRIM(sales_dataset[[#This Row],[ProductCategory]])="", R349, PROPER(TRIM(sales_dataset[[#This Row],[ProductCategory]])))</f>
        <v>Electronics</v>
      </c>
      <c r="T331" s="1" t="s">
        <v>76</v>
      </c>
      <c r="V331">
        <v>5</v>
      </c>
      <c r="W331" t="str">
        <f>IF(TRIM(sales_dataset[[#This Row],[Quantity]])="",V337,PROPER(TRIM(sales_dataset[[#This Row],[Quantity]])))</f>
        <v>5</v>
      </c>
      <c r="Y331">
        <v>2000</v>
      </c>
      <c r="Z331" t="str">
        <f>IF(TRIM(sales_dataset[[#This Row],[UnitPrice]])="",Y333,PROPER(TRIM(sales_dataset[[#This Row],[UnitPrice]])))</f>
        <v>2000</v>
      </c>
      <c r="AB331">
        <v>5000</v>
      </c>
      <c r="AC331" s="1" t="str">
        <f>IF(TRIM(sales_dataset[[#This Row],[TotalRevenue]])="",AB333,PROPER(TRIM(sales_dataset[[#This Row],[TotalRevenue]])))</f>
        <v>5000</v>
      </c>
      <c r="AD331" s="1">
        <f>ABS(sales_dataset[[#This Row],[Column5]])</f>
        <v>5000</v>
      </c>
      <c r="AE331" s="1">
        <f>sales_dataset[[#This Row],[Column17]]*sales_dataset[[#This Row],[Column16]]</f>
        <v>0</v>
      </c>
    </row>
    <row r="332" spans="3:31" x14ac:dyDescent="0.3">
      <c r="C332" s="1" t="s">
        <v>16</v>
      </c>
      <c r="F332" s="1" t="s">
        <v>19</v>
      </c>
      <c r="H332" s="1" t="s">
        <v>28</v>
      </c>
      <c r="J332" s="1" t="s">
        <v>66</v>
      </c>
      <c r="K332" s="1" t="str">
        <f>IF(TRIM(sales_dataset[[#This Row],[Region]])="", J334, PROPER(TRIM(sales_dataset[[#This Row],[Region]])))</f>
        <v>West</v>
      </c>
      <c r="N332" s="1" t="s">
        <v>39</v>
      </c>
      <c r="Q332" s="1" t="s">
        <v>32</v>
      </c>
      <c r="R332" s="1" t="str">
        <f>IF(TRIM(sales_dataset[[#This Row],[ProductCategory]])="", R350, PROPER(TRIM(sales_dataset[[#This Row],[ProductCategory]])))</f>
        <v>Electronics</v>
      </c>
      <c r="T332" s="1" t="s">
        <v>23</v>
      </c>
      <c r="W332">
        <f>IF(TRIM(sales_dataset[[#This Row],[Quantity]])="",V338,PROPER(TRIM(sales_dataset[[#This Row],[Quantity]])))</f>
        <v>0</v>
      </c>
      <c r="Y332">
        <v>500</v>
      </c>
      <c r="Z332" t="str">
        <f>IF(TRIM(sales_dataset[[#This Row],[UnitPrice]])="",Y334,PROPER(TRIM(sales_dataset[[#This Row],[UnitPrice]])))</f>
        <v>500</v>
      </c>
      <c r="AC332" s="1">
        <f>IF(TRIM(sales_dataset[[#This Row],[TotalRevenue]])="",AB334,PROPER(TRIM(sales_dataset[[#This Row],[TotalRevenue]])))</f>
        <v>0</v>
      </c>
      <c r="AD332" s="1">
        <f>ABS(sales_dataset[[#This Row],[Column5]])</f>
        <v>0</v>
      </c>
      <c r="AE332" s="1">
        <f>sales_dataset[[#This Row],[Column17]]*sales_dataset[[#This Row],[Column16]]</f>
        <v>0</v>
      </c>
    </row>
    <row r="333" spans="3:31" x14ac:dyDescent="0.3">
      <c r="C333" s="1" t="s">
        <v>25</v>
      </c>
      <c r="F333" s="1" t="s">
        <v>27</v>
      </c>
      <c r="H333" s="1" t="s">
        <v>54</v>
      </c>
      <c r="J333" s="1" t="s">
        <v>37</v>
      </c>
      <c r="K333" s="1" t="str">
        <f>IF(TRIM(sales_dataset[[#This Row],[Region]])="", J335, PROPER(TRIM(sales_dataset[[#This Row],[Region]])))</f>
        <v>North</v>
      </c>
      <c r="N333" s="1" t="s">
        <v>48</v>
      </c>
      <c r="Q333" s="1" t="s">
        <v>19</v>
      </c>
      <c r="R333" s="1" t="str">
        <f>IF(TRIM(sales_dataset[[#This Row],[ProductCategory]])="", R351, PROPER(TRIM(sales_dataset[[#This Row],[ProductCategory]])))</f>
        <v>Home</v>
      </c>
      <c r="T333" s="1" t="s">
        <v>69</v>
      </c>
      <c r="W333">
        <f>IF(TRIM(sales_dataset[[#This Row],[Quantity]])="",V339,PROPER(TRIM(sales_dataset[[#This Row],[Quantity]])))</f>
        <v>2</v>
      </c>
      <c r="Z333">
        <f>IF(TRIM(sales_dataset[[#This Row],[UnitPrice]])="",Y335,PROPER(TRIM(sales_dataset[[#This Row],[UnitPrice]])))</f>
        <v>1500</v>
      </c>
      <c r="AC333" s="1">
        <f>IF(TRIM(sales_dataset[[#This Row],[TotalRevenue]])="",AB335,PROPER(TRIM(sales_dataset[[#This Row],[TotalRevenue]])))</f>
        <v>1500</v>
      </c>
      <c r="AD333" s="1">
        <f>ABS(sales_dataset[[#This Row],[Column5]])</f>
        <v>1500</v>
      </c>
      <c r="AE333" s="1">
        <f>sales_dataset[[#This Row],[Column17]]*sales_dataset[[#This Row],[Column16]]</f>
        <v>0</v>
      </c>
    </row>
    <row r="334" spans="3:31" x14ac:dyDescent="0.3">
      <c r="C334" s="1" t="s">
        <v>35</v>
      </c>
      <c r="F334" s="1" t="s">
        <v>60</v>
      </c>
      <c r="H334" s="1" t="s">
        <v>19</v>
      </c>
      <c r="J334" s="1" t="s">
        <v>66</v>
      </c>
      <c r="K334" s="1" t="str">
        <f>IF(TRIM(sales_dataset[[#This Row],[Region]])="", J336, PROPER(TRIM(sales_dataset[[#This Row],[Region]])))</f>
        <v>West</v>
      </c>
      <c r="N334" s="1" t="s">
        <v>39</v>
      </c>
      <c r="Q334" s="1" t="s">
        <v>32</v>
      </c>
      <c r="R334" s="1" t="str">
        <f>IF(TRIM(sales_dataset[[#This Row],[ProductCategory]])="", R352, PROPER(TRIM(sales_dataset[[#This Row],[ProductCategory]])))</f>
        <v>Electronics</v>
      </c>
      <c r="T334" s="1" t="s">
        <v>19</v>
      </c>
      <c r="V334">
        <v>5</v>
      </c>
      <c r="W334" t="str">
        <f>IF(TRIM(sales_dataset[[#This Row],[Quantity]])="",V340,PROPER(TRIM(sales_dataset[[#This Row],[Quantity]])))</f>
        <v>5</v>
      </c>
      <c r="Z334">
        <f>IF(TRIM(sales_dataset[[#This Row],[UnitPrice]])="",Y336,PROPER(TRIM(sales_dataset[[#This Row],[UnitPrice]])))</f>
        <v>500</v>
      </c>
      <c r="AC334" s="1">
        <f>IF(TRIM(sales_dataset[[#This Row],[TotalRevenue]])="",AB336,PROPER(TRIM(sales_dataset[[#This Row],[TotalRevenue]])))</f>
        <v>2000</v>
      </c>
      <c r="AD334" s="1">
        <f>ABS(sales_dataset[[#This Row],[Column5]])</f>
        <v>2000</v>
      </c>
      <c r="AE334" s="1">
        <f>sales_dataset[[#This Row],[Column17]]*sales_dataset[[#This Row],[Column16]]</f>
        <v>0</v>
      </c>
    </row>
    <row r="335" spans="3:31" x14ac:dyDescent="0.3">
      <c r="C335" s="1" t="s">
        <v>43</v>
      </c>
      <c r="F335" s="1" t="s">
        <v>118</v>
      </c>
      <c r="H335" s="1" t="s">
        <v>28</v>
      </c>
      <c r="J335" s="1" t="s">
        <v>37</v>
      </c>
      <c r="K335" s="1" t="str">
        <f>IF(TRIM(sales_dataset[[#This Row],[Region]])="", J337, PROPER(TRIM(sales_dataset[[#This Row],[Region]])))</f>
        <v>North</v>
      </c>
      <c r="N335" s="1" t="s">
        <v>19</v>
      </c>
      <c r="Q335" s="1" t="s">
        <v>82</v>
      </c>
      <c r="R335" s="1" t="str">
        <f>IF(TRIM(sales_dataset[[#This Row],[ProductCategory]])="", R353, PROPER(TRIM(sales_dataset[[#This Row],[ProductCategory]])))</f>
        <v>Electronics</v>
      </c>
      <c r="T335" s="1" t="s">
        <v>95</v>
      </c>
      <c r="V335">
        <v>1</v>
      </c>
      <c r="W335" t="str">
        <f>IF(TRIM(sales_dataset[[#This Row],[Quantity]])="",V341,PROPER(TRIM(sales_dataset[[#This Row],[Quantity]])))</f>
        <v>1</v>
      </c>
      <c r="Y335">
        <v>1500</v>
      </c>
      <c r="Z335" t="str">
        <f>IF(TRIM(sales_dataset[[#This Row],[UnitPrice]])="",Y337,PROPER(TRIM(sales_dataset[[#This Row],[UnitPrice]])))</f>
        <v>1500</v>
      </c>
      <c r="AB335">
        <v>1500</v>
      </c>
      <c r="AC335" s="1" t="str">
        <f>IF(TRIM(sales_dataset[[#This Row],[TotalRevenue]])="",AB337,PROPER(TRIM(sales_dataset[[#This Row],[TotalRevenue]])))</f>
        <v>1500</v>
      </c>
      <c r="AD335" s="1">
        <f>ABS(sales_dataset[[#This Row],[Column5]])</f>
        <v>1500</v>
      </c>
      <c r="AE335" s="1">
        <f>sales_dataset[[#This Row],[Column17]]*sales_dataset[[#This Row],[Column16]]</f>
        <v>0</v>
      </c>
    </row>
    <row r="336" spans="3:31" x14ac:dyDescent="0.3">
      <c r="C336" s="1" t="s">
        <v>51</v>
      </c>
      <c r="F336" s="1" t="s">
        <v>18</v>
      </c>
      <c r="H336" s="1" t="s">
        <v>73</v>
      </c>
      <c r="J336" s="1" t="s">
        <v>46</v>
      </c>
      <c r="K336" s="1" t="str">
        <f>IF(TRIM(sales_dataset[[#This Row],[Region]])="", J338, PROPER(TRIM(sales_dataset[[#This Row],[Region]])))</f>
        <v>North</v>
      </c>
      <c r="N336" s="1" t="s">
        <v>56</v>
      </c>
      <c r="Q336" s="1" t="s">
        <v>82</v>
      </c>
      <c r="R336" s="1" t="str">
        <f>IF(TRIM(sales_dataset[[#This Row],[ProductCategory]])="", R354, PROPER(TRIM(sales_dataset[[#This Row],[ProductCategory]])))</f>
        <v>Electronics</v>
      </c>
      <c r="T336" s="1" t="s">
        <v>19</v>
      </c>
      <c r="V336">
        <v>4</v>
      </c>
      <c r="W336" t="str">
        <f>IF(TRIM(sales_dataset[[#This Row],[Quantity]])="",V342,PROPER(TRIM(sales_dataset[[#This Row],[Quantity]])))</f>
        <v>4</v>
      </c>
      <c r="Y336">
        <v>500</v>
      </c>
      <c r="Z336" t="str">
        <f>IF(TRIM(sales_dataset[[#This Row],[UnitPrice]])="",Y338,PROPER(TRIM(sales_dataset[[#This Row],[UnitPrice]])))</f>
        <v>500</v>
      </c>
      <c r="AB336">
        <v>2000</v>
      </c>
      <c r="AC336" s="1" t="str">
        <f>IF(TRIM(sales_dataset[[#This Row],[TotalRevenue]])="",AB338,PROPER(TRIM(sales_dataset[[#This Row],[TotalRevenue]])))</f>
        <v>2000</v>
      </c>
      <c r="AD336" s="1">
        <f>ABS(sales_dataset[[#This Row],[Column5]])</f>
        <v>2000</v>
      </c>
      <c r="AE336" s="1">
        <f>sales_dataset[[#This Row],[Column17]]*sales_dataset[[#This Row],[Column16]]</f>
        <v>0</v>
      </c>
    </row>
    <row r="337" spans="3:31" x14ac:dyDescent="0.3">
      <c r="C337" s="1" t="s">
        <v>19</v>
      </c>
      <c r="F337" s="1" t="s">
        <v>53</v>
      </c>
      <c r="H337" s="1" t="s">
        <v>45</v>
      </c>
      <c r="J337" s="1" t="s">
        <v>80</v>
      </c>
      <c r="K337" s="1" t="str">
        <f>IF(TRIM(sales_dataset[[#This Row],[Region]])="", J339, PROPER(TRIM(sales_dataset[[#This Row],[Region]])))</f>
        <v>East</v>
      </c>
      <c r="N337" s="1" t="s">
        <v>30</v>
      </c>
      <c r="Q337" s="1" t="s">
        <v>41</v>
      </c>
      <c r="R337" s="1" t="str">
        <f>IF(TRIM(sales_dataset[[#This Row],[ProductCategory]])="", R355, PROPER(TRIM(sales_dataset[[#This Row],[ProductCategory]])))</f>
        <v>Home</v>
      </c>
      <c r="T337" s="1" t="s">
        <v>69</v>
      </c>
      <c r="W337">
        <f>IF(TRIM(sales_dataset[[#This Row],[Quantity]])="",V343,PROPER(TRIM(sales_dataset[[#This Row],[Quantity]])))</f>
        <v>0</v>
      </c>
      <c r="Y337">
        <v>500</v>
      </c>
      <c r="Z337" t="str">
        <f>IF(TRIM(sales_dataset[[#This Row],[UnitPrice]])="",Y339,PROPER(TRIM(sales_dataset[[#This Row],[UnitPrice]])))</f>
        <v>500</v>
      </c>
      <c r="AC337" s="1">
        <f>IF(TRIM(sales_dataset[[#This Row],[TotalRevenue]])="",AB339,PROPER(TRIM(sales_dataset[[#This Row],[TotalRevenue]])))</f>
        <v>0</v>
      </c>
      <c r="AD337" s="1">
        <f>ABS(sales_dataset[[#This Row],[Column5]])</f>
        <v>0</v>
      </c>
      <c r="AE337" s="1">
        <f>sales_dataset[[#This Row],[Column17]]*sales_dataset[[#This Row],[Column16]]</f>
        <v>0</v>
      </c>
    </row>
    <row r="338" spans="3:31" x14ac:dyDescent="0.3">
      <c r="C338" s="1" t="s">
        <v>16</v>
      </c>
      <c r="F338" s="1" t="s">
        <v>72</v>
      </c>
      <c r="H338" s="1" t="s">
        <v>79</v>
      </c>
      <c r="J338" s="1" t="s">
        <v>80</v>
      </c>
      <c r="K338" s="1" t="str">
        <f>IF(TRIM(sales_dataset[[#This Row],[Region]])="", J340, PROPER(TRIM(sales_dataset[[#This Row],[Region]])))</f>
        <v>East</v>
      </c>
      <c r="N338" s="1" t="s">
        <v>21</v>
      </c>
      <c r="Q338" s="1" t="s">
        <v>32</v>
      </c>
      <c r="R338" s="1" t="str">
        <f>IF(TRIM(sales_dataset[[#This Row],[ProductCategory]])="", R356, PROPER(TRIM(sales_dataset[[#This Row],[ProductCategory]])))</f>
        <v>Electronics</v>
      </c>
      <c r="T338" s="1" t="s">
        <v>19</v>
      </c>
      <c r="W338">
        <f>IF(TRIM(sales_dataset[[#This Row],[Quantity]])="",V344,PROPER(TRIM(sales_dataset[[#This Row],[Quantity]])))</f>
        <v>0</v>
      </c>
      <c r="Y338">
        <v>500</v>
      </c>
      <c r="Z338" t="str">
        <f>IF(TRIM(sales_dataset[[#This Row],[UnitPrice]])="",Y340,PROPER(TRIM(sales_dataset[[#This Row],[UnitPrice]])))</f>
        <v>500</v>
      </c>
      <c r="AC338" s="1">
        <f>IF(TRIM(sales_dataset[[#This Row],[TotalRevenue]])="",AB340,PROPER(TRIM(sales_dataset[[#This Row],[TotalRevenue]])))</f>
        <v>0</v>
      </c>
      <c r="AD338" s="1">
        <f>ABS(sales_dataset[[#This Row],[Column5]])</f>
        <v>0</v>
      </c>
      <c r="AE338" s="1">
        <f>sales_dataset[[#This Row],[Column17]]*sales_dataset[[#This Row],[Column16]]</f>
        <v>0</v>
      </c>
    </row>
    <row r="339" spans="3:31" x14ac:dyDescent="0.3">
      <c r="C339" s="1" t="s">
        <v>25</v>
      </c>
      <c r="F339" s="1" t="s">
        <v>60</v>
      </c>
      <c r="H339" s="1" t="s">
        <v>73</v>
      </c>
      <c r="J339" s="1" t="s">
        <v>19</v>
      </c>
      <c r="K339" s="1" t="str">
        <f>IF(TRIM(sales_dataset[[#This Row],[Region]])="", J341, PROPER(TRIM(sales_dataset[[#This Row],[Region]])))</f>
        <v>South</v>
      </c>
      <c r="N339" s="1" t="s">
        <v>39</v>
      </c>
      <c r="Q339" s="1" t="s">
        <v>63</v>
      </c>
      <c r="R339" s="1" t="str">
        <f>IF(TRIM(sales_dataset[[#This Row],[ProductCategory]])="", R357, PROPER(TRIM(sales_dataset[[#This Row],[ProductCategory]])))</f>
        <v>Clothing</v>
      </c>
      <c r="T339" s="1" t="s">
        <v>69</v>
      </c>
      <c r="V339">
        <v>2</v>
      </c>
      <c r="W339" t="str">
        <f>IF(TRIM(sales_dataset[[#This Row],[Quantity]])="",V345,PROPER(TRIM(sales_dataset[[#This Row],[Quantity]])))</f>
        <v>2</v>
      </c>
      <c r="Z339">
        <f>IF(TRIM(sales_dataset[[#This Row],[UnitPrice]])="",Y341,PROPER(TRIM(sales_dataset[[#This Row],[UnitPrice]])))</f>
        <v>2500</v>
      </c>
      <c r="AC339" s="1">
        <f>IF(TRIM(sales_dataset[[#This Row],[TotalRevenue]])="",AB341,PROPER(TRIM(sales_dataset[[#This Row],[TotalRevenue]])))</f>
        <v>7500</v>
      </c>
      <c r="AD339" s="1">
        <f>ABS(sales_dataset[[#This Row],[Column5]])</f>
        <v>7500</v>
      </c>
      <c r="AE339" s="1">
        <f>sales_dataset[[#This Row],[Column17]]*sales_dataset[[#This Row],[Column16]]</f>
        <v>0</v>
      </c>
    </row>
    <row r="340" spans="3:31" x14ac:dyDescent="0.3">
      <c r="C340" s="1" t="s">
        <v>35</v>
      </c>
      <c r="F340" s="1" t="s">
        <v>18</v>
      </c>
      <c r="H340" s="1" t="s">
        <v>45</v>
      </c>
      <c r="J340" s="1" t="s">
        <v>66</v>
      </c>
      <c r="K340" s="1" t="str">
        <f>IF(TRIM(sales_dataset[[#This Row],[Region]])="", J342, PROPER(TRIM(sales_dataset[[#This Row],[Region]])))</f>
        <v>West</v>
      </c>
      <c r="N340" s="1" t="s">
        <v>48</v>
      </c>
      <c r="Q340" s="1" t="s">
        <v>32</v>
      </c>
      <c r="R340" s="1" t="str">
        <f>IF(TRIM(sales_dataset[[#This Row],[ProductCategory]])="", R358, PROPER(TRIM(sales_dataset[[#This Row],[ProductCategory]])))</f>
        <v>Electronics</v>
      </c>
      <c r="T340" s="1" t="s">
        <v>87</v>
      </c>
      <c r="V340">
        <v>4</v>
      </c>
      <c r="W340" t="str">
        <f>IF(TRIM(sales_dataset[[#This Row],[Quantity]])="",V346,PROPER(TRIM(sales_dataset[[#This Row],[Quantity]])))</f>
        <v>4</v>
      </c>
      <c r="Z340">
        <f>IF(TRIM(sales_dataset[[#This Row],[UnitPrice]])="",Y342,PROPER(TRIM(sales_dataset[[#This Row],[UnitPrice]])))</f>
        <v>0</v>
      </c>
      <c r="AC340" s="1">
        <f>IF(TRIM(sales_dataset[[#This Row],[TotalRevenue]])="",AB342,PROPER(TRIM(sales_dataset[[#This Row],[TotalRevenue]])))</f>
        <v>0</v>
      </c>
      <c r="AD340" s="1">
        <f>ABS(sales_dataset[[#This Row],[Column5]])</f>
        <v>0</v>
      </c>
      <c r="AE340" s="1">
        <f>sales_dataset[[#This Row],[Column17]]*sales_dataset[[#This Row],[Column16]]</f>
        <v>0</v>
      </c>
    </row>
    <row r="341" spans="3:31" x14ac:dyDescent="0.3">
      <c r="C341" s="1" t="s">
        <v>43</v>
      </c>
      <c r="F341" s="1" t="s">
        <v>18</v>
      </c>
      <c r="H341" s="1" t="s">
        <v>45</v>
      </c>
      <c r="J341" s="1" t="s">
        <v>98</v>
      </c>
      <c r="K341" s="1" t="str">
        <f>IF(TRIM(sales_dataset[[#This Row],[Region]])="", J343, PROPER(TRIM(sales_dataset[[#This Row],[Region]])))</f>
        <v>South</v>
      </c>
      <c r="N341" s="1" t="s">
        <v>39</v>
      </c>
      <c r="Q341" s="1" t="s">
        <v>63</v>
      </c>
      <c r="R341" s="1" t="str">
        <f>IF(TRIM(sales_dataset[[#This Row],[ProductCategory]])="", R359, PROPER(TRIM(sales_dataset[[#This Row],[ProductCategory]])))</f>
        <v>Clothing</v>
      </c>
      <c r="T341" s="1" t="s">
        <v>69</v>
      </c>
      <c r="V341">
        <v>3</v>
      </c>
      <c r="W341" t="str">
        <f>IF(TRIM(sales_dataset[[#This Row],[Quantity]])="",V347,PROPER(TRIM(sales_dataset[[#This Row],[Quantity]])))</f>
        <v>3</v>
      </c>
      <c r="Y341">
        <v>2500</v>
      </c>
      <c r="Z341" t="str">
        <f>IF(TRIM(sales_dataset[[#This Row],[UnitPrice]])="",Y343,PROPER(TRIM(sales_dataset[[#This Row],[UnitPrice]])))</f>
        <v>2500</v>
      </c>
      <c r="AB341">
        <v>7500</v>
      </c>
      <c r="AC341" s="1" t="str">
        <f>IF(TRIM(sales_dataset[[#This Row],[TotalRevenue]])="",AB343,PROPER(TRIM(sales_dataset[[#This Row],[TotalRevenue]])))</f>
        <v>7500</v>
      </c>
      <c r="AD341" s="1">
        <f>ABS(sales_dataset[[#This Row],[Column5]])</f>
        <v>7500</v>
      </c>
      <c r="AE341" s="1">
        <f>sales_dataset[[#This Row],[Column17]]*sales_dataset[[#This Row],[Column16]]</f>
        <v>0</v>
      </c>
    </row>
    <row r="342" spans="3:31" x14ac:dyDescent="0.3">
      <c r="C342" s="1" t="s">
        <v>51</v>
      </c>
      <c r="F342" s="1" t="s">
        <v>53</v>
      </c>
      <c r="H342" s="1" t="s">
        <v>28</v>
      </c>
      <c r="J342" s="1" t="s">
        <v>37</v>
      </c>
      <c r="K342" s="1" t="str">
        <f>IF(TRIM(sales_dataset[[#This Row],[Region]])="", J344, PROPER(TRIM(sales_dataset[[#This Row],[Region]])))</f>
        <v>North</v>
      </c>
      <c r="N342" s="1" t="s">
        <v>48</v>
      </c>
      <c r="Q342" s="1" t="s">
        <v>19</v>
      </c>
      <c r="R342" s="1" t="str">
        <f>IF(TRIM(sales_dataset[[#This Row],[ProductCategory]])="", R360, PROPER(TRIM(sales_dataset[[#This Row],[ProductCategory]])))</f>
        <v>Home</v>
      </c>
      <c r="T342" s="1" t="s">
        <v>87</v>
      </c>
      <c r="W342">
        <f>IF(TRIM(sales_dataset[[#This Row],[Quantity]])="",V348,PROPER(TRIM(sales_dataset[[#This Row],[Quantity]])))</f>
        <v>-1</v>
      </c>
      <c r="Z342">
        <f>IF(TRIM(sales_dataset[[#This Row],[UnitPrice]])="",Y344,PROPER(TRIM(sales_dataset[[#This Row],[UnitPrice]])))</f>
        <v>500</v>
      </c>
      <c r="AC342" s="1">
        <f>IF(TRIM(sales_dataset[[#This Row],[TotalRevenue]])="",AB344,PROPER(TRIM(sales_dataset[[#This Row],[TotalRevenue]])))</f>
        <v>0</v>
      </c>
      <c r="AD342" s="1">
        <f>ABS(sales_dataset[[#This Row],[Column5]])</f>
        <v>0</v>
      </c>
      <c r="AE342" s="1">
        <f>sales_dataset[[#This Row],[Column17]]*sales_dataset[[#This Row],[Column16]]</f>
        <v>0</v>
      </c>
    </row>
    <row r="343" spans="3:31" x14ac:dyDescent="0.3">
      <c r="C343" s="1" t="s">
        <v>19</v>
      </c>
      <c r="F343" s="1" t="s">
        <v>27</v>
      </c>
      <c r="H343" s="1" t="s">
        <v>19</v>
      </c>
      <c r="J343" s="1" t="s">
        <v>80</v>
      </c>
      <c r="K343" s="1" t="str">
        <f>IF(TRIM(sales_dataset[[#This Row],[Region]])="", J345, PROPER(TRIM(sales_dataset[[#This Row],[Region]])))</f>
        <v>East</v>
      </c>
      <c r="N343" s="1" t="s">
        <v>56</v>
      </c>
      <c r="Q343" s="1" t="s">
        <v>63</v>
      </c>
      <c r="R343" s="1" t="str">
        <f>IF(TRIM(sales_dataset[[#This Row],[ProductCategory]])="", R361, PROPER(TRIM(sales_dataset[[#This Row],[ProductCategory]])))</f>
        <v>Clothing</v>
      </c>
      <c r="T343" s="1" t="s">
        <v>69</v>
      </c>
      <c r="W343">
        <f>IF(TRIM(sales_dataset[[#This Row],[Quantity]])="",V349,PROPER(TRIM(sales_dataset[[#This Row],[Quantity]])))</f>
        <v>5</v>
      </c>
      <c r="Z343">
        <f>IF(TRIM(sales_dataset[[#This Row],[UnitPrice]])="",Y345,PROPER(TRIM(sales_dataset[[#This Row],[UnitPrice]])))</f>
        <v>2000</v>
      </c>
      <c r="AC343" s="1">
        <f>IF(TRIM(sales_dataset[[#This Row],[TotalRevenue]])="",AB345,PROPER(TRIM(sales_dataset[[#This Row],[TotalRevenue]])))</f>
        <v>8000</v>
      </c>
      <c r="AD343" s="1">
        <f>ABS(sales_dataset[[#This Row],[Column5]])</f>
        <v>8000</v>
      </c>
      <c r="AE343" s="1">
        <f>sales_dataset[[#This Row],[Column17]]*sales_dataset[[#This Row],[Column16]]</f>
        <v>0</v>
      </c>
    </row>
    <row r="344" spans="3:31" x14ac:dyDescent="0.3">
      <c r="C344" s="1" t="s">
        <v>16</v>
      </c>
      <c r="F344" s="1" t="s">
        <v>72</v>
      </c>
      <c r="H344" s="1" t="s">
        <v>54</v>
      </c>
      <c r="J344" s="1" t="s">
        <v>19</v>
      </c>
      <c r="K344" s="1" t="str">
        <f>IF(TRIM(sales_dataset[[#This Row],[Region]])="", J346, PROPER(TRIM(sales_dataset[[#This Row],[Region]])))</f>
        <v>South</v>
      </c>
      <c r="N344" s="1" t="s">
        <v>19</v>
      </c>
      <c r="Q344" s="1" t="s">
        <v>19</v>
      </c>
      <c r="R344" s="1" t="str">
        <f>IF(TRIM(sales_dataset[[#This Row],[ProductCategory]])="", R362, PROPER(TRIM(sales_dataset[[#This Row],[ProductCategory]])))</f>
        <v>Electronics</v>
      </c>
      <c r="T344" s="1" t="s">
        <v>33</v>
      </c>
      <c r="W344">
        <f>IF(TRIM(sales_dataset[[#This Row],[Quantity]])="",V350,PROPER(TRIM(sales_dataset[[#This Row],[Quantity]])))</f>
        <v>5</v>
      </c>
      <c r="Y344">
        <v>500</v>
      </c>
      <c r="Z344" t="str">
        <f>IF(TRIM(sales_dataset[[#This Row],[UnitPrice]])="",Y346,PROPER(TRIM(sales_dataset[[#This Row],[UnitPrice]])))</f>
        <v>500</v>
      </c>
      <c r="AC344" s="1">
        <f>IF(TRIM(sales_dataset[[#This Row],[TotalRevenue]])="",AB346,PROPER(TRIM(sales_dataset[[#This Row],[TotalRevenue]])))</f>
        <v>3000</v>
      </c>
      <c r="AD344" s="1">
        <f>ABS(sales_dataset[[#This Row],[Column5]])</f>
        <v>3000</v>
      </c>
      <c r="AE344" s="1">
        <f>sales_dataset[[#This Row],[Column17]]*sales_dataset[[#This Row],[Column16]]</f>
        <v>0</v>
      </c>
    </row>
    <row r="345" spans="3:31" x14ac:dyDescent="0.3">
      <c r="C345" s="1" t="s">
        <v>25</v>
      </c>
      <c r="F345" s="1" t="s">
        <v>72</v>
      </c>
      <c r="H345" s="1" t="s">
        <v>54</v>
      </c>
      <c r="J345" s="1" t="s">
        <v>66</v>
      </c>
      <c r="K345" s="1" t="str">
        <f>IF(TRIM(sales_dataset[[#This Row],[Region]])="", J347, PROPER(TRIM(sales_dataset[[#This Row],[Region]])))</f>
        <v>West</v>
      </c>
      <c r="N345" s="1" t="s">
        <v>48</v>
      </c>
      <c r="Q345" s="1" t="s">
        <v>82</v>
      </c>
      <c r="R345" s="1" t="str">
        <f>IF(TRIM(sales_dataset[[#This Row],[ProductCategory]])="", R363, PROPER(TRIM(sales_dataset[[#This Row],[ProductCategory]])))</f>
        <v>Electronics</v>
      </c>
      <c r="T345" s="1" t="s">
        <v>87</v>
      </c>
      <c r="V345">
        <v>4</v>
      </c>
      <c r="W345" t="str">
        <f>IF(TRIM(sales_dataset[[#This Row],[Quantity]])="",V351,PROPER(TRIM(sales_dataset[[#This Row],[Quantity]])))</f>
        <v>4</v>
      </c>
      <c r="Y345">
        <v>2000</v>
      </c>
      <c r="Z345" t="str">
        <f>IF(TRIM(sales_dataset[[#This Row],[UnitPrice]])="",Y347,PROPER(TRIM(sales_dataset[[#This Row],[UnitPrice]])))</f>
        <v>2000</v>
      </c>
      <c r="AB345">
        <v>8000</v>
      </c>
      <c r="AC345" s="1" t="str">
        <f>IF(TRIM(sales_dataset[[#This Row],[TotalRevenue]])="",AB347,PROPER(TRIM(sales_dataset[[#This Row],[TotalRevenue]])))</f>
        <v>8000</v>
      </c>
      <c r="AD345" s="1">
        <f>ABS(sales_dataset[[#This Row],[Column5]])</f>
        <v>8000</v>
      </c>
      <c r="AE345" s="1">
        <f>sales_dataset[[#This Row],[Column17]]*sales_dataset[[#This Row],[Column16]]</f>
        <v>0</v>
      </c>
    </row>
    <row r="346" spans="3:31" x14ac:dyDescent="0.3">
      <c r="C346" s="1" t="s">
        <v>35</v>
      </c>
      <c r="F346" s="1" t="s">
        <v>72</v>
      </c>
      <c r="H346" s="1" t="s">
        <v>79</v>
      </c>
      <c r="J346" s="1" t="s">
        <v>98</v>
      </c>
      <c r="K346" s="1" t="str">
        <f>IF(TRIM(sales_dataset[[#This Row],[Region]])="", J348, PROPER(TRIM(sales_dataset[[#This Row],[Region]])))</f>
        <v>South</v>
      </c>
      <c r="N346" s="1" t="s">
        <v>21</v>
      </c>
      <c r="Q346" s="1" t="s">
        <v>32</v>
      </c>
      <c r="R346" s="1" t="str">
        <f>IF(TRIM(sales_dataset[[#This Row],[ProductCategory]])="", R364, PROPER(TRIM(sales_dataset[[#This Row],[ProductCategory]])))</f>
        <v>Electronics</v>
      </c>
      <c r="T346" s="1" t="s">
        <v>76</v>
      </c>
      <c r="V346">
        <v>2</v>
      </c>
      <c r="W346" t="str">
        <f>IF(TRIM(sales_dataset[[#This Row],[Quantity]])="",V352,PROPER(TRIM(sales_dataset[[#This Row],[Quantity]])))</f>
        <v>2</v>
      </c>
      <c r="Y346">
        <v>1500</v>
      </c>
      <c r="Z346" t="str">
        <f>IF(TRIM(sales_dataset[[#This Row],[UnitPrice]])="",Y348,PROPER(TRIM(sales_dataset[[#This Row],[UnitPrice]])))</f>
        <v>1500</v>
      </c>
      <c r="AB346">
        <v>3000</v>
      </c>
      <c r="AC346" s="1" t="str">
        <f>IF(TRIM(sales_dataset[[#This Row],[TotalRevenue]])="",AB348,PROPER(TRIM(sales_dataset[[#This Row],[TotalRevenue]])))</f>
        <v>3000</v>
      </c>
      <c r="AD346" s="1">
        <f>ABS(sales_dataset[[#This Row],[Column5]])</f>
        <v>3000</v>
      </c>
      <c r="AE346" s="1">
        <f>sales_dataset[[#This Row],[Column17]]*sales_dataset[[#This Row],[Column16]]</f>
        <v>0</v>
      </c>
    </row>
    <row r="347" spans="3:31" x14ac:dyDescent="0.3">
      <c r="C347" s="1" t="s">
        <v>43</v>
      </c>
      <c r="F347" s="1" t="s">
        <v>19</v>
      </c>
      <c r="H347" s="1" t="s">
        <v>19</v>
      </c>
      <c r="J347" s="1" t="s">
        <v>46</v>
      </c>
      <c r="K347" s="1" t="str">
        <f>IF(TRIM(sales_dataset[[#This Row],[Region]])="", J349, PROPER(TRIM(sales_dataset[[#This Row],[Region]])))</f>
        <v>North</v>
      </c>
      <c r="N347" s="1" t="s">
        <v>56</v>
      </c>
      <c r="Q347" s="1" t="s">
        <v>41</v>
      </c>
      <c r="R347" s="1" t="str">
        <f>IF(TRIM(sales_dataset[[#This Row],[ProductCategory]])="", R365, PROPER(TRIM(sales_dataset[[#This Row],[ProductCategory]])))</f>
        <v>Home</v>
      </c>
      <c r="T347" s="1" t="s">
        <v>95</v>
      </c>
      <c r="V347">
        <v>-1</v>
      </c>
      <c r="W347" t="str">
        <f>IF(TRIM(sales_dataset[[#This Row],[Quantity]])="",V353,PROPER(TRIM(sales_dataset[[#This Row],[Quantity]])))</f>
        <v>-1</v>
      </c>
      <c r="Y347">
        <v>-100</v>
      </c>
      <c r="Z347" t="str">
        <f>IF(TRIM(sales_dataset[[#This Row],[UnitPrice]])="",Y349,PROPER(TRIM(sales_dataset[[#This Row],[UnitPrice]])))</f>
        <v>-100</v>
      </c>
      <c r="AB347">
        <v>100</v>
      </c>
      <c r="AC347" s="1" t="str">
        <f>IF(TRIM(sales_dataset[[#This Row],[TotalRevenue]])="",AB349,PROPER(TRIM(sales_dataset[[#This Row],[TotalRevenue]])))</f>
        <v>100</v>
      </c>
      <c r="AD347" s="1">
        <f>ABS(sales_dataset[[#This Row],[Column5]])</f>
        <v>100</v>
      </c>
      <c r="AE347" s="1">
        <f>sales_dataset[[#This Row],[Column17]]*sales_dataset[[#This Row],[Column16]]</f>
        <v>0</v>
      </c>
    </row>
    <row r="348" spans="3:31" x14ac:dyDescent="0.3">
      <c r="C348" s="1" t="s">
        <v>51</v>
      </c>
      <c r="F348" s="1" t="s">
        <v>118</v>
      </c>
      <c r="H348" s="1" t="s">
        <v>79</v>
      </c>
      <c r="J348" s="1" t="s">
        <v>98</v>
      </c>
      <c r="K348" s="1" t="str">
        <f>IF(TRIM(sales_dataset[[#This Row],[Region]])="", J350, PROPER(TRIM(sales_dataset[[#This Row],[Region]])))</f>
        <v>South</v>
      </c>
      <c r="N348" s="1" t="s">
        <v>19</v>
      </c>
      <c r="Q348" s="1" t="s">
        <v>32</v>
      </c>
      <c r="R348" s="1" t="str">
        <f>IF(TRIM(sales_dataset[[#This Row],[ProductCategory]])="", R366, PROPER(TRIM(sales_dataset[[#This Row],[ProductCategory]])))</f>
        <v>Electronics</v>
      </c>
      <c r="T348" s="1" t="s">
        <v>23</v>
      </c>
      <c r="V348">
        <v>-1</v>
      </c>
      <c r="W348" t="str">
        <f>IF(TRIM(sales_dataset[[#This Row],[Quantity]])="",V354,PROPER(TRIM(sales_dataset[[#This Row],[Quantity]])))</f>
        <v>-1</v>
      </c>
      <c r="Y348">
        <v>-100</v>
      </c>
      <c r="Z348" t="str">
        <f>IF(TRIM(sales_dataset[[#This Row],[UnitPrice]])="",Y350,PROPER(TRIM(sales_dataset[[#This Row],[UnitPrice]])))</f>
        <v>-100</v>
      </c>
      <c r="AB348">
        <v>100</v>
      </c>
      <c r="AC348" s="1" t="str">
        <f>IF(TRIM(sales_dataset[[#This Row],[TotalRevenue]])="",AB350,PROPER(TRIM(sales_dataset[[#This Row],[TotalRevenue]])))</f>
        <v>100</v>
      </c>
      <c r="AD348" s="1">
        <f>ABS(sales_dataset[[#This Row],[Column5]])</f>
        <v>100</v>
      </c>
      <c r="AE348" s="1">
        <f>sales_dataset[[#This Row],[Column17]]*sales_dataset[[#This Row],[Column16]]</f>
        <v>0</v>
      </c>
    </row>
    <row r="349" spans="3:31" x14ac:dyDescent="0.3">
      <c r="C349" s="1" t="s">
        <v>19</v>
      </c>
      <c r="F349" s="1" t="s">
        <v>18</v>
      </c>
      <c r="H349" s="1" t="s">
        <v>19</v>
      </c>
      <c r="J349" s="1" t="s">
        <v>46</v>
      </c>
      <c r="K349" s="1" t="str">
        <f>IF(TRIM(sales_dataset[[#This Row],[Region]])="", J351, PROPER(TRIM(sales_dataset[[#This Row],[Region]])))</f>
        <v>North</v>
      </c>
      <c r="N349" s="1" t="s">
        <v>39</v>
      </c>
      <c r="Q349" s="1" t="s">
        <v>19</v>
      </c>
      <c r="R349" s="1" t="str">
        <f>IF(TRIM(sales_dataset[[#This Row],[ProductCategory]])="", R367, PROPER(TRIM(sales_dataset[[#This Row],[ProductCategory]])))</f>
        <v>Home</v>
      </c>
      <c r="T349" s="1" t="s">
        <v>19</v>
      </c>
      <c r="V349">
        <v>5</v>
      </c>
      <c r="W349" t="str">
        <f>IF(TRIM(sales_dataset[[#This Row],[Quantity]])="",V355,PROPER(TRIM(sales_dataset[[#This Row],[Quantity]])))</f>
        <v>5</v>
      </c>
      <c r="Y349">
        <v>-100</v>
      </c>
      <c r="Z349" t="str">
        <f>IF(TRIM(sales_dataset[[#This Row],[UnitPrice]])="",Y351,PROPER(TRIM(sales_dataset[[#This Row],[UnitPrice]])))</f>
        <v>-100</v>
      </c>
      <c r="AB349">
        <v>-500</v>
      </c>
      <c r="AC349" s="1" t="str">
        <f>IF(TRIM(sales_dataset[[#This Row],[TotalRevenue]])="",AB351,PROPER(TRIM(sales_dataset[[#This Row],[TotalRevenue]])))</f>
        <v>-500</v>
      </c>
      <c r="AD349" s="1">
        <f>ABS(sales_dataset[[#This Row],[Column5]])</f>
        <v>500</v>
      </c>
      <c r="AE349" s="1">
        <f>sales_dataset[[#This Row],[Column17]]*sales_dataset[[#This Row],[Column16]]</f>
        <v>0</v>
      </c>
    </row>
    <row r="350" spans="3:31" x14ac:dyDescent="0.3">
      <c r="C350" s="1" t="s">
        <v>16</v>
      </c>
      <c r="F350" s="1" t="s">
        <v>118</v>
      </c>
      <c r="H350" s="1" t="s">
        <v>28</v>
      </c>
      <c r="J350" s="1" t="s">
        <v>66</v>
      </c>
      <c r="K350" s="1" t="str">
        <f>IF(TRIM(sales_dataset[[#This Row],[Region]])="", J352, PROPER(TRIM(sales_dataset[[#This Row],[Region]])))</f>
        <v>West</v>
      </c>
      <c r="N350" s="1" t="s">
        <v>19</v>
      </c>
      <c r="Q350" s="1" t="s">
        <v>32</v>
      </c>
      <c r="R350" s="1" t="str">
        <f>IF(TRIM(sales_dataset[[#This Row],[ProductCategory]])="", R368, PROPER(TRIM(sales_dataset[[#This Row],[ProductCategory]])))</f>
        <v>Electronics</v>
      </c>
      <c r="T350" s="1" t="s">
        <v>19</v>
      </c>
      <c r="V350">
        <v>5</v>
      </c>
      <c r="W350" t="str">
        <f>IF(TRIM(sales_dataset[[#This Row],[Quantity]])="",V356,PROPER(TRIM(sales_dataset[[#This Row],[Quantity]])))</f>
        <v>5</v>
      </c>
      <c r="Y350">
        <v>2000</v>
      </c>
      <c r="Z350" t="str">
        <f>IF(TRIM(sales_dataset[[#This Row],[UnitPrice]])="",Y352,PROPER(TRIM(sales_dataset[[#This Row],[UnitPrice]])))</f>
        <v>2000</v>
      </c>
      <c r="AB350">
        <v>10000</v>
      </c>
      <c r="AC350" s="1" t="str">
        <f>IF(TRIM(sales_dataset[[#This Row],[TotalRevenue]])="",AB352,PROPER(TRIM(sales_dataset[[#This Row],[TotalRevenue]])))</f>
        <v>10000</v>
      </c>
      <c r="AD350" s="1">
        <f>ABS(sales_dataset[[#This Row],[Column5]])</f>
        <v>10000</v>
      </c>
      <c r="AE350" s="1">
        <f>sales_dataset[[#This Row],[Column17]]*sales_dataset[[#This Row],[Column16]]</f>
        <v>0</v>
      </c>
    </row>
    <row r="351" spans="3:31" x14ac:dyDescent="0.3">
      <c r="C351" s="1" t="s">
        <v>25</v>
      </c>
      <c r="F351" s="1" t="s">
        <v>118</v>
      </c>
      <c r="H351" s="1" t="s">
        <v>28</v>
      </c>
      <c r="J351" s="1" t="s">
        <v>98</v>
      </c>
      <c r="K351" s="1" t="str">
        <f>IF(TRIM(sales_dataset[[#This Row],[Region]])="", J353, PROPER(TRIM(sales_dataset[[#This Row],[Region]])))</f>
        <v>South</v>
      </c>
      <c r="N351" s="1" t="s">
        <v>19</v>
      </c>
      <c r="Q351" s="1" t="s">
        <v>41</v>
      </c>
      <c r="R351" s="1" t="str">
        <f>IF(TRIM(sales_dataset[[#This Row],[ProductCategory]])="", R369, PROPER(TRIM(sales_dataset[[#This Row],[ProductCategory]])))</f>
        <v>Home</v>
      </c>
      <c r="T351" s="1" t="s">
        <v>19</v>
      </c>
      <c r="V351">
        <v>1</v>
      </c>
      <c r="W351" t="str">
        <f>IF(TRIM(sales_dataset[[#This Row],[Quantity]])="",V357,PROPER(TRIM(sales_dataset[[#This Row],[Quantity]])))</f>
        <v>1</v>
      </c>
      <c r="Y351">
        <v>1500</v>
      </c>
      <c r="Z351" t="str">
        <f>IF(TRIM(sales_dataset[[#This Row],[UnitPrice]])="",Y353,PROPER(TRIM(sales_dataset[[#This Row],[UnitPrice]])))</f>
        <v>1500</v>
      </c>
      <c r="AB351">
        <v>1500</v>
      </c>
      <c r="AC351" s="1" t="str">
        <f>IF(TRIM(sales_dataset[[#This Row],[TotalRevenue]])="",AB353,PROPER(TRIM(sales_dataset[[#This Row],[TotalRevenue]])))</f>
        <v>1500</v>
      </c>
      <c r="AD351" s="1">
        <f>ABS(sales_dataset[[#This Row],[Column5]])</f>
        <v>1500</v>
      </c>
      <c r="AE351" s="1">
        <f>sales_dataset[[#This Row],[Column17]]*sales_dataset[[#This Row],[Column16]]</f>
        <v>0</v>
      </c>
    </row>
    <row r="352" spans="3:31" x14ac:dyDescent="0.3">
      <c r="C352" s="1" t="s">
        <v>35</v>
      </c>
      <c r="F352" s="1" t="s">
        <v>18</v>
      </c>
      <c r="H352" s="1" t="s">
        <v>73</v>
      </c>
      <c r="J352" s="1" t="s">
        <v>19</v>
      </c>
      <c r="K352" s="1" t="str">
        <f>IF(TRIM(sales_dataset[[#This Row],[Region]])="", J354, PROPER(TRIM(sales_dataset[[#This Row],[Region]])))</f>
        <v>North</v>
      </c>
      <c r="N352" s="1" t="s">
        <v>30</v>
      </c>
      <c r="Q352" s="1" t="s">
        <v>19</v>
      </c>
      <c r="R352" s="1" t="str">
        <f>IF(TRIM(sales_dataset[[#This Row],[ProductCategory]])="", R370, PROPER(TRIM(sales_dataset[[#This Row],[ProductCategory]])))</f>
        <v>Clothing</v>
      </c>
      <c r="T352" s="1" t="s">
        <v>87</v>
      </c>
      <c r="V352">
        <v>1</v>
      </c>
      <c r="W352" t="str">
        <f>IF(TRIM(sales_dataset[[#This Row],[Quantity]])="",V358,PROPER(TRIM(sales_dataset[[#This Row],[Quantity]])))</f>
        <v>1</v>
      </c>
      <c r="Y352">
        <v>2500</v>
      </c>
      <c r="Z352" t="str">
        <f>IF(TRIM(sales_dataset[[#This Row],[UnitPrice]])="",Y354,PROPER(TRIM(sales_dataset[[#This Row],[UnitPrice]])))</f>
        <v>2500</v>
      </c>
      <c r="AB352">
        <v>2500</v>
      </c>
      <c r="AC352" s="1" t="str">
        <f>IF(TRIM(sales_dataset[[#This Row],[TotalRevenue]])="",AB354,PROPER(TRIM(sales_dataset[[#This Row],[TotalRevenue]])))</f>
        <v>2500</v>
      </c>
      <c r="AD352" s="1">
        <f>ABS(sales_dataset[[#This Row],[Column5]])</f>
        <v>2500</v>
      </c>
      <c r="AE352" s="1">
        <f>sales_dataset[[#This Row],[Column17]]*sales_dataset[[#This Row],[Column16]]</f>
        <v>0</v>
      </c>
    </row>
    <row r="353" spans="3:31" x14ac:dyDescent="0.3">
      <c r="C353" s="1" t="s">
        <v>43</v>
      </c>
      <c r="F353" s="1" t="s">
        <v>19</v>
      </c>
      <c r="H353" s="1" t="s">
        <v>28</v>
      </c>
      <c r="J353" s="1" t="s">
        <v>66</v>
      </c>
      <c r="K353" s="1" t="str">
        <f>IF(TRIM(sales_dataset[[#This Row],[Region]])="", J355, PROPER(TRIM(sales_dataset[[#This Row],[Region]])))</f>
        <v>West</v>
      </c>
      <c r="N353" s="1" t="s">
        <v>48</v>
      </c>
      <c r="Q353" s="1" t="s">
        <v>19</v>
      </c>
      <c r="R353" s="1" t="str">
        <f>IF(TRIM(sales_dataset[[#This Row],[ProductCategory]])="", R371, PROPER(TRIM(sales_dataset[[#This Row],[ProductCategory]])))</f>
        <v>Electronics</v>
      </c>
      <c r="T353" s="1" t="s">
        <v>23</v>
      </c>
      <c r="W353">
        <f>IF(TRIM(sales_dataset[[#This Row],[Quantity]])="",V359,PROPER(TRIM(sales_dataset[[#This Row],[Quantity]])))</f>
        <v>4</v>
      </c>
      <c r="Y353">
        <v>-100</v>
      </c>
      <c r="Z353" t="str">
        <f>IF(TRIM(sales_dataset[[#This Row],[UnitPrice]])="",Y355,PROPER(TRIM(sales_dataset[[#This Row],[UnitPrice]])))</f>
        <v>-100</v>
      </c>
      <c r="AC353" s="1">
        <f>IF(TRIM(sales_dataset[[#This Row],[TotalRevenue]])="",AB355,PROPER(TRIM(sales_dataset[[#This Row],[TotalRevenue]])))</f>
        <v>7500</v>
      </c>
      <c r="AD353" s="1">
        <f>ABS(sales_dataset[[#This Row],[Column5]])</f>
        <v>7500</v>
      </c>
      <c r="AE353" s="1">
        <f>sales_dataset[[#This Row],[Column17]]*sales_dataset[[#This Row],[Column16]]</f>
        <v>0</v>
      </c>
    </row>
    <row r="354" spans="3:31" x14ac:dyDescent="0.3">
      <c r="C354" s="1" t="s">
        <v>51</v>
      </c>
      <c r="F354" s="1" t="s">
        <v>72</v>
      </c>
      <c r="H354" s="1" t="s">
        <v>54</v>
      </c>
      <c r="J354" s="1" t="s">
        <v>46</v>
      </c>
      <c r="K354" s="1" t="str">
        <f>IF(TRIM(sales_dataset[[#This Row],[Region]])="", J356, PROPER(TRIM(sales_dataset[[#This Row],[Region]])))</f>
        <v>North</v>
      </c>
      <c r="N354" s="1" t="s">
        <v>19</v>
      </c>
      <c r="Q354" s="1" t="s">
        <v>41</v>
      </c>
      <c r="R354" s="1" t="str">
        <f>IF(TRIM(sales_dataset[[#This Row],[ProductCategory]])="", R372, PROPER(TRIM(sales_dataset[[#This Row],[ProductCategory]])))</f>
        <v>Home</v>
      </c>
      <c r="T354" s="1" t="s">
        <v>76</v>
      </c>
      <c r="V354">
        <v>2</v>
      </c>
      <c r="W354" t="str">
        <f>IF(TRIM(sales_dataset[[#This Row],[Quantity]])="",V360,PROPER(TRIM(sales_dataset[[#This Row],[Quantity]])))</f>
        <v>2</v>
      </c>
      <c r="Z354">
        <f>IF(TRIM(sales_dataset[[#This Row],[UnitPrice]])="",Y356,PROPER(TRIM(sales_dataset[[#This Row],[UnitPrice]])))</f>
        <v>1500</v>
      </c>
      <c r="AC354" s="1">
        <f>IF(TRIM(sales_dataset[[#This Row],[TotalRevenue]])="",AB356,PROPER(TRIM(sales_dataset[[#This Row],[TotalRevenue]])))</f>
        <v>-1500</v>
      </c>
      <c r="AD354" s="1">
        <f>ABS(sales_dataset[[#This Row],[Column5]])</f>
        <v>1500</v>
      </c>
      <c r="AE354" s="1">
        <f>sales_dataset[[#This Row],[Column17]]*sales_dataset[[#This Row],[Column16]]</f>
        <v>0</v>
      </c>
    </row>
    <row r="355" spans="3:31" x14ac:dyDescent="0.3">
      <c r="C355" s="1" t="s">
        <v>19</v>
      </c>
      <c r="F355" s="1" t="s">
        <v>18</v>
      </c>
      <c r="H355" s="1" t="s">
        <v>28</v>
      </c>
      <c r="J355" s="1" t="s">
        <v>19</v>
      </c>
      <c r="K355" s="1" t="str">
        <f>IF(TRIM(sales_dataset[[#This Row],[Region]])="", J357, PROPER(TRIM(sales_dataset[[#This Row],[Region]])))</f>
        <v/>
      </c>
      <c r="N355" s="1" t="s">
        <v>21</v>
      </c>
      <c r="Q355" s="1" t="s">
        <v>32</v>
      </c>
      <c r="R355" s="1" t="str">
        <f>IF(TRIM(sales_dataset[[#This Row],[ProductCategory]])="", R373, PROPER(TRIM(sales_dataset[[#This Row],[ProductCategory]])))</f>
        <v>Electronics</v>
      </c>
      <c r="T355" s="1" t="s">
        <v>69</v>
      </c>
      <c r="V355">
        <v>5</v>
      </c>
      <c r="W355" t="str">
        <f>IF(TRIM(sales_dataset[[#This Row],[Quantity]])="",V361,PROPER(TRIM(sales_dataset[[#This Row],[Quantity]])))</f>
        <v>5</v>
      </c>
      <c r="Y355">
        <v>1500</v>
      </c>
      <c r="Z355" t="str">
        <f>IF(TRIM(sales_dataset[[#This Row],[UnitPrice]])="",Y357,PROPER(TRIM(sales_dataset[[#This Row],[UnitPrice]])))</f>
        <v>1500</v>
      </c>
      <c r="AB355">
        <v>7500</v>
      </c>
      <c r="AC355" s="1" t="str">
        <f>IF(TRIM(sales_dataset[[#This Row],[TotalRevenue]])="",AB357,PROPER(TRIM(sales_dataset[[#This Row],[TotalRevenue]])))</f>
        <v>7500</v>
      </c>
      <c r="AD355" s="1">
        <f>ABS(sales_dataset[[#This Row],[Column5]])</f>
        <v>7500</v>
      </c>
      <c r="AE355" s="1">
        <f>sales_dataset[[#This Row],[Column17]]*sales_dataset[[#This Row],[Column16]]</f>
        <v>0</v>
      </c>
    </row>
    <row r="356" spans="3:31" x14ac:dyDescent="0.3">
      <c r="C356" s="1" t="s">
        <v>16</v>
      </c>
      <c r="F356" s="1" t="s">
        <v>19</v>
      </c>
      <c r="H356" s="1" t="s">
        <v>28</v>
      </c>
      <c r="J356" s="1" t="s">
        <v>80</v>
      </c>
      <c r="K356" s="1" t="str">
        <f>IF(TRIM(sales_dataset[[#This Row],[Region]])="", J358, PROPER(TRIM(sales_dataset[[#This Row],[Region]])))</f>
        <v>East</v>
      </c>
      <c r="N356" s="1" t="s">
        <v>30</v>
      </c>
      <c r="Q356" s="1" t="s">
        <v>41</v>
      </c>
      <c r="R356" s="1" t="str">
        <f>IF(TRIM(sales_dataset[[#This Row],[ProductCategory]])="", R374, PROPER(TRIM(sales_dataset[[#This Row],[ProductCategory]])))</f>
        <v>Home</v>
      </c>
      <c r="T356" s="1" t="s">
        <v>87</v>
      </c>
      <c r="V356">
        <v>-1</v>
      </c>
      <c r="W356" t="str">
        <f>IF(TRIM(sales_dataset[[#This Row],[Quantity]])="",V362,PROPER(TRIM(sales_dataset[[#This Row],[Quantity]])))</f>
        <v>-1</v>
      </c>
      <c r="Y356">
        <v>1500</v>
      </c>
      <c r="Z356" t="str">
        <f>IF(TRIM(sales_dataset[[#This Row],[UnitPrice]])="",Y358,PROPER(TRIM(sales_dataset[[#This Row],[UnitPrice]])))</f>
        <v>1500</v>
      </c>
      <c r="AB356">
        <v>-1500</v>
      </c>
      <c r="AC356" s="1" t="str">
        <f>IF(TRIM(sales_dataset[[#This Row],[TotalRevenue]])="",AB358,PROPER(TRIM(sales_dataset[[#This Row],[TotalRevenue]])))</f>
        <v>-1500</v>
      </c>
      <c r="AD356" s="1">
        <f>ABS(sales_dataset[[#This Row],[Column5]])</f>
        <v>1500</v>
      </c>
      <c r="AE356" s="1">
        <f>sales_dataset[[#This Row],[Column17]]*sales_dataset[[#This Row],[Column16]]</f>
        <v>0</v>
      </c>
    </row>
    <row r="357" spans="3:31" x14ac:dyDescent="0.3">
      <c r="C357" s="1" t="s">
        <v>25</v>
      </c>
      <c r="F357" s="1" t="s">
        <v>27</v>
      </c>
      <c r="H357" s="1" t="s">
        <v>45</v>
      </c>
      <c r="J357" s="1" t="s">
        <v>19</v>
      </c>
      <c r="K357" s="1" t="str">
        <f>IF(TRIM(sales_dataset[[#This Row],[Region]])="", J359, PROPER(TRIM(sales_dataset[[#This Row],[Region]])))</f>
        <v/>
      </c>
      <c r="N357" s="1" t="s">
        <v>30</v>
      </c>
      <c r="Q357" s="1" t="s">
        <v>63</v>
      </c>
      <c r="R357" s="1" t="str">
        <f>IF(TRIM(sales_dataset[[#This Row],[ProductCategory]])="", R375, PROPER(TRIM(sales_dataset[[#This Row],[ProductCategory]])))</f>
        <v>Clothing</v>
      </c>
      <c r="T357" s="1" t="s">
        <v>69</v>
      </c>
      <c r="V357">
        <v>4</v>
      </c>
      <c r="W357" t="str">
        <f>IF(TRIM(sales_dataset[[#This Row],[Quantity]])="",V363,PROPER(TRIM(sales_dataset[[#This Row],[Quantity]])))</f>
        <v>4</v>
      </c>
      <c r="Y357">
        <v>1500</v>
      </c>
      <c r="Z357" t="str">
        <f>IF(TRIM(sales_dataset[[#This Row],[UnitPrice]])="",Y359,PROPER(TRIM(sales_dataset[[#This Row],[UnitPrice]])))</f>
        <v>1500</v>
      </c>
      <c r="AB357">
        <v>6000</v>
      </c>
      <c r="AC357" s="1" t="str">
        <f>IF(TRIM(sales_dataset[[#This Row],[TotalRevenue]])="",AB359,PROPER(TRIM(sales_dataset[[#This Row],[TotalRevenue]])))</f>
        <v>6000</v>
      </c>
      <c r="AD357" s="1">
        <f>ABS(sales_dataset[[#This Row],[Column5]])</f>
        <v>6000</v>
      </c>
      <c r="AE357" s="1">
        <f>sales_dataset[[#This Row],[Column17]]*sales_dataset[[#This Row],[Column16]]</f>
        <v>0</v>
      </c>
    </row>
    <row r="358" spans="3:31" x14ac:dyDescent="0.3">
      <c r="C358" s="1" t="s">
        <v>35</v>
      </c>
      <c r="F358" s="1" t="s">
        <v>19</v>
      </c>
      <c r="H358" s="1" t="s">
        <v>28</v>
      </c>
      <c r="J358" s="1" t="s">
        <v>80</v>
      </c>
      <c r="K358" s="1" t="str">
        <f>IF(TRIM(sales_dataset[[#This Row],[Region]])="", J360, PROPER(TRIM(sales_dataset[[#This Row],[Region]])))</f>
        <v>East</v>
      </c>
      <c r="N358" s="1" t="s">
        <v>56</v>
      </c>
      <c r="Q358" s="1" t="s">
        <v>82</v>
      </c>
      <c r="R358" s="1" t="str">
        <f>IF(TRIM(sales_dataset[[#This Row],[ProductCategory]])="", R376, PROPER(TRIM(sales_dataset[[#This Row],[ProductCategory]])))</f>
        <v>Electronics</v>
      </c>
      <c r="T358" s="1" t="s">
        <v>95</v>
      </c>
      <c r="V358">
        <v>-1</v>
      </c>
      <c r="W358" t="str">
        <f>IF(TRIM(sales_dataset[[#This Row],[Quantity]])="",V364,PROPER(TRIM(sales_dataset[[#This Row],[Quantity]])))</f>
        <v>-1</v>
      </c>
      <c r="Y358">
        <v>1500</v>
      </c>
      <c r="Z358" t="str">
        <f>IF(TRIM(sales_dataset[[#This Row],[UnitPrice]])="",Y360,PROPER(TRIM(sales_dataset[[#This Row],[UnitPrice]])))</f>
        <v>1500</v>
      </c>
      <c r="AB358">
        <v>-1500</v>
      </c>
      <c r="AC358" s="1" t="str">
        <f>IF(TRIM(sales_dataset[[#This Row],[TotalRevenue]])="",AB360,PROPER(TRIM(sales_dataset[[#This Row],[TotalRevenue]])))</f>
        <v>-1500</v>
      </c>
      <c r="AD358" s="1">
        <f>ABS(sales_dataset[[#This Row],[Column5]])</f>
        <v>1500</v>
      </c>
      <c r="AE358" s="1">
        <f>sales_dataset[[#This Row],[Column17]]*sales_dataset[[#This Row],[Column16]]</f>
        <v>0</v>
      </c>
    </row>
    <row r="359" spans="3:31" x14ac:dyDescent="0.3">
      <c r="C359" s="1" t="s">
        <v>43</v>
      </c>
      <c r="F359" s="1" t="s">
        <v>18</v>
      </c>
      <c r="H359" s="1" t="s">
        <v>19</v>
      </c>
      <c r="J359" s="1" t="s">
        <v>19</v>
      </c>
      <c r="K359" s="1" t="str">
        <f>IF(TRIM(sales_dataset[[#This Row],[Region]])="", J361, PROPER(TRIM(sales_dataset[[#This Row],[Region]])))</f>
        <v>NORTH</v>
      </c>
      <c r="N359" s="1" t="s">
        <v>39</v>
      </c>
      <c r="Q359" s="1" t="s">
        <v>41</v>
      </c>
      <c r="R359" s="1" t="str">
        <f>IF(TRIM(sales_dataset[[#This Row],[ProductCategory]])="", R377, PROPER(TRIM(sales_dataset[[#This Row],[ProductCategory]])))</f>
        <v>Home</v>
      </c>
      <c r="T359" s="1" t="s">
        <v>19</v>
      </c>
      <c r="V359">
        <v>4</v>
      </c>
      <c r="W359" t="str">
        <f>IF(TRIM(sales_dataset[[#This Row],[Quantity]])="",V365,PROPER(TRIM(sales_dataset[[#This Row],[Quantity]])))</f>
        <v>4</v>
      </c>
      <c r="Z359">
        <f>IF(TRIM(sales_dataset[[#This Row],[UnitPrice]])="",Y361,PROPER(TRIM(sales_dataset[[#This Row],[UnitPrice]])))</f>
        <v>1500</v>
      </c>
      <c r="AC359" s="1">
        <f>IF(TRIM(sales_dataset[[#This Row],[TotalRevenue]])="",AB361,PROPER(TRIM(sales_dataset[[#This Row],[TotalRevenue]])))</f>
        <v>1500</v>
      </c>
      <c r="AD359" s="1">
        <f>ABS(sales_dataset[[#This Row],[Column5]])</f>
        <v>1500</v>
      </c>
      <c r="AE359" s="1">
        <f>sales_dataset[[#This Row],[Column17]]*sales_dataset[[#This Row],[Column16]]</f>
        <v>0</v>
      </c>
    </row>
    <row r="360" spans="3:31" x14ac:dyDescent="0.3">
      <c r="C360" s="1" t="s">
        <v>51</v>
      </c>
      <c r="F360" s="1" t="s">
        <v>53</v>
      </c>
      <c r="H360" s="1" t="s">
        <v>19</v>
      </c>
      <c r="J360" s="1" t="s">
        <v>46</v>
      </c>
      <c r="K360" s="1" t="str">
        <f>IF(TRIM(sales_dataset[[#This Row],[Region]])="", J362, PROPER(TRIM(sales_dataset[[#This Row],[Region]])))</f>
        <v>North</v>
      </c>
      <c r="N360" s="1" t="s">
        <v>30</v>
      </c>
      <c r="Q360" s="1" t="s">
        <v>19</v>
      </c>
      <c r="R360" s="1" t="str">
        <f>IF(TRIM(sales_dataset[[#This Row],[ProductCategory]])="", R378, PROPER(TRIM(sales_dataset[[#This Row],[ProductCategory]])))</f>
        <v>Home</v>
      </c>
      <c r="T360" s="1" t="s">
        <v>23</v>
      </c>
      <c r="V360">
        <v>-1</v>
      </c>
      <c r="W360" t="str">
        <f>IF(TRIM(sales_dataset[[#This Row],[Quantity]])="",V366,PROPER(TRIM(sales_dataset[[#This Row],[Quantity]])))</f>
        <v>-1</v>
      </c>
      <c r="Y360">
        <v>2000</v>
      </c>
      <c r="Z360" t="str">
        <f>IF(TRIM(sales_dataset[[#This Row],[UnitPrice]])="",Y362,PROPER(TRIM(sales_dataset[[#This Row],[UnitPrice]])))</f>
        <v>2000</v>
      </c>
      <c r="AB360">
        <v>-2000</v>
      </c>
      <c r="AC360" s="1" t="str">
        <f>IF(TRIM(sales_dataset[[#This Row],[TotalRevenue]])="",AB362,PROPER(TRIM(sales_dataset[[#This Row],[TotalRevenue]])))</f>
        <v>-2000</v>
      </c>
      <c r="AD360" s="1">
        <f>ABS(sales_dataset[[#This Row],[Column5]])</f>
        <v>2000</v>
      </c>
      <c r="AE360" s="1">
        <f>sales_dataset[[#This Row],[Column17]]*sales_dataset[[#This Row],[Column16]]</f>
        <v>0</v>
      </c>
    </row>
    <row r="361" spans="3:31" x14ac:dyDescent="0.3">
      <c r="C361" s="1" t="s">
        <v>19</v>
      </c>
      <c r="F361" s="1" t="s">
        <v>19</v>
      </c>
      <c r="H361" s="1" t="s">
        <v>79</v>
      </c>
      <c r="J361" s="1" t="s">
        <v>37</v>
      </c>
      <c r="K361" s="1" t="str">
        <f>IF(TRIM(sales_dataset[[#This Row],[Region]])="", J363, PROPER(TRIM(sales_dataset[[#This Row],[Region]])))</f>
        <v>North</v>
      </c>
      <c r="N361" s="1" t="s">
        <v>21</v>
      </c>
      <c r="Q361" s="1" t="s">
        <v>63</v>
      </c>
      <c r="R361" s="1" t="str">
        <f>IF(TRIM(sales_dataset[[#This Row],[ProductCategory]])="", R379, PROPER(TRIM(sales_dataset[[#This Row],[ProductCategory]])))</f>
        <v>Clothing</v>
      </c>
      <c r="T361" s="1" t="s">
        <v>69</v>
      </c>
      <c r="V361">
        <v>2</v>
      </c>
      <c r="W361" t="str">
        <f>IF(TRIM(sales_dataset[[#This Row],[Quantity]])="",V367,PROPER(TRIM(sales_dataset[[#This Row],[Quantity]])))</f>
        <v>2</v>
      </c>
      <c r="Y361">
        <v>1500</v>
      </c>
      <c r="Z361" t="str">
        <f>IF(TRIM(sales_dataset[[#This Row],[UnitPrice]])="",Y363,PROPER(TRIM(sales_dataset[[#This Row],[UnitPrice]])))</f>
        <v>1500</v>
      </c>
      <c r="AB361">
        <v>1500</v>
      </c>
      <c r="AC361" s="1" t="str">
        <f>IF(TRIM(sales_dataset[[#This Row],[TotalRevenue]])="",AB363,PROPER(TRIM(sales_dataset[[#This Row],[TotalRevenue]])))</f>
        <v>1500</v>
      </c>
      <c r="AD361" s="1">
        <f>ABS(sales_dataset[[#This Row],[Column5]])</f>
        <v>1500</v>
      </c>
      <c r="AE361" s="1">
        <f>sales_dataset[[#This Row],[Column17]]*sales_dataset[[#This Row],[Column16]]</f>
        <v>0</v>
      </c>
    </row>
    <row r="362" spans="3:31" x14ac:dyDescent="0.3">
      <c r="C362" s="1" t="s">
        <v>16</v>
      </c>
      <c r="F362" s="1" t="s">
        <v>18</v>
      </c>
      <c r="H362" s="1" t="s">
        <v>73</v>
      </c>
      <c r="J362" s="1" t="s">
        <v>37</v>
      </c>
      <c r="K362" s="1" t="str">
        <f>IF(TRIM(sales_dataset[[#This Row],[Region]])="", J364, PROPER(TRIM(sales_dataset[[#This Row],[Region]])))</f>
        <v>North</v>
      </c>
      <c r="N362" s="1" t="s">
        <v>48</v>
      </c>
      <c r="Q362" s="1" t="s">
        <v>82</v>
      </c>
      <c r="R362" s="1" t="str">
        <f>IF(TRIM(sales_dataset[[#This Row],[ProductCategory]])="", R380, PROPER(TRIM(sales_dataset[[#This Row],[ProductCategory]])))</f>
        <v>Electronics</v>
      </c>
      <c r="T362" s="1" t="s">
        <v>33</v>
      </c>
      <c r="V362">
        <v>1</v>
      </c>
      <c r="W362" t="str">
        <f>IF(TRIM(sales_dataset[[#This Row],[Quantity]])="",V368,PROPER(TRIM(sales_dataset[[#This Row],[Quantity]])))</f>
        <v>1</v>
      </c>
      <c r="Y362">
        <v>500</v>
      </c>
      <c r="Z362" t="str">
        <f>IF(TRIM(sales_dataset[[#This Row],[UnitPrice]])="",Y364,PROPER(TRIM(sales_dataset[[#This Row],[UnitPrice]])))</f>
        <v>500</v>
      </c>
      <c r="AB362">
        <v>500</v>
      </c>
      <c r="AC362" s="1" t="str">
        <f>IF(TRIM(sales_dataset[[#This Row],[TotalRevenue]])="",AB364,PROPER(TRIM(sales_dataset[[#This Row],[TotalRevenue]])))</f>
        <v>500</v>
      </c>
      <c r="AD362" s="1">
        <f>ABS(sales_dataset[[#This Row],[Column5]])</f>
        <v>500</v>
      </c>
      <c r="AE362" s="1">
        <f>sales_dataset[[#This Row],[Column17]]*sales_dataset[[#This Row],[Column16]]</f>
        <v>0</v>
      </c>
    </row>
    <row r="363" spans="3:31" x14ac:dyDescent="0.3">
      <c r="C363" s="1" t="s">
        <v>25</v>
      </c>
      <c r="F363" s="1" t="s">
        <v>19</v>
      </c>
      <c r="H363" s="1" t="s">
        <v>28</v>
      </c>
      <c r="J363" s="1" t="s">
        <v>80</v>
      </c>
      <c r="K363" s="1" t="str">
        <f>IF(TRIM(sales_dataset[[#This Row],[Region]])="", J365, PROPER(TRIM(sales_dataset[[#This Row],[Region]])))</f>
        <v>East</v>
      </c>
      <c r="N363" s="1" t="s">
        <v>48</v>
      </c>
      <c r="Q363" s="1" t="s">
        <v>41</v>
      </c>
      <c r="R363" s="1" t="str">
        <f>IF(TRIM(sales_dataset[[#This Row],[ProductCategory]])="", R381, PROPER(TRIM(sales_dataset[[#This Row],[ProductCategory]])))</f>
        <v>Home</v>
      </c>
      <c r="T363" s="1" t="s">
        <v>95</v>
      </c>
      <c r="V363">
        <v>-1</v>
      </c>
      <c r="W363" t="str">
        <f>IF(TRIM(sales_dataset[[#This Row],[Quantity]])="",V369,PROPER(TRIM(sales_dataset[[#This Row],[Quantity]])))</f>
        <v>-1</v>
      </c>
      <c r="Y363">
        <v>1500</v>
      </c>
      <c r="Z363" t="str">
        <f>IF(TRIM(sales_dataset[[#This Row],[UnitPrice]])="",Y365,PROPER(TRIM(sales_dataset[[#This Row],[UnitPrice]])))</f>
        <v>1500</v>
      </c>
      <c r="AB363">
        <v>-750</v>
      </c>
      <c r="AC363" s="1" t="str">
        <f>IF(TRIM(sales_dataset[[#This Row],[TotalRevenue]])="",AB365,PROPER(TRIM(sales_dataset[[#This Row],[TotalRevenue]])))</f>
        <v>-750</v>
      </c>
      <c r="AD363" s="1">
        <f>ABS(sales_dataset[[#This Row],[Column5]])</f>
        <v>750</v>
      </c>
      <c r="AE363" s="1">
        <f>sales_dataset[[#This Row],[Column17]]*sales_dataset[[#This Row],[Column16]]</f>
        <v>0</v>
      </c>
    </row>
    <row r="364" spans="3:31" x14ac:dyDescent="0.3">
      <c r="C364" s="1" t="s">
        <v>35</v>
      </c>
      <c r="F364" s="1" t="s">
        <v>60</v>
      </c>
      <c r="H364" s="1" t="s">
        <v>19</v>
      </c>
      <c r="J364" s="1" t="s">
        <v>80</v>
      </c>
      <c r="K364" s="1" t="str">
        <f>IF(TRIM(sales_dataset[[#This Row],[Region]])="", J366, PROPER(TRIM(sales_dataset[[#This Row],[Region]])))</f>
        <v>East</v>
      </c>
      <c r="N364" s="1" t="s">
        <v>48</v>
      </c>
      <c r="Q364" s="1" t="s">
        <v>82</v>
      </c>
      <c r="R364" s="1" t="str">
        <f>IF(TRIM(sales_dataset[[#This Row],[ProductCategory]])="", R382, PROPER(TRIM(sales_dataset[[#This Row],[ProductCategory]])))</f>
        <v>Electronics</v>
      </c>
      <c r="T364" s="1" t="s">
        <v>19</v>
      </c>
      <c r="V364">
        <v>4</v>
      </c>
      <c r="W364" t="str">
        <f>IF(TRIM(sales_dataset[[#This Row],[Quantity]])="",V370,PROPER(TRIM(sales_dataset[[#This Row],[Quantity]])))</f>
        <v>4</v>
      </c>
      <c r="Y364">
        <v>-100</v>
      </c>
      <c r="Z364" t="str">
        <f>IF(TRIM(sales_dataset[[#This Row],[UnitPrice]])="",Y366,PROPER(TRIM(sales_dataset[[#This Row],[UnitPrice]])))</f>
        <v>-100</v>
      </c>
      <c r="AB364">
        <v>-400</v>
      </c>
      <c r="AC364" s="1" t="str">
        <f>IF(TRIM(sales_dataset[[#This Row],[TotalRevenue]])="",AB366,PROPER(TRIM(sales_dataset[[#This Row],[TotalRevenue]])))</f>
        <v>-400</v>
      </c>
      <c r="AD364" s="1">
        <f>ABS(sales_dataset[[#This Row],[Column5]])</f>
        <v>400</v>
      </c>
      <c r="AE364" s="1">
        <f>sales_dataset[[#This Row],[Column17]]*sales_dataset[[#This Row],[Column16]]</f>
        <v>0</v>
      </c>
    </row>
    <row r="365" spans="3:31" x14ac:dyDescent="0.3">
      <c r="C365" s="1" t="s">
        <v>43</v>
      </c>
      <c r="F365" s="1" t="s">
        <v>27</v>
      </c>
      <c r="H365" s="1" t="s">
        <v>79</v>
      </c>
      <c r="J365" s="1" t="s">
        <v>98</v>
      </c>
      <c r="K365" s="1" t="str">
        <f>IF(TRIM(sales_dataset[[#This Row],[Region]])="", J367, PROPER(TRIM(sales_dataset[[#This Row],[Region]])))</f>
        <v>South</v>
      </c>
      <c r="N365" s="1" t="s">
        <v>56</v>
      </c>
      <c r="Q365" s="1" t="s">
        <v>32</v>
      </c>
      <c r="R365" s="1" t="str">
        <f>IF(TRIM(sales_dataset[[#This Row],[ProductCategory]])="", R383, PROPER(TRIM(sales_dataset[[#This Row],[ProductCategory]])))</f>
        <v>Electronics</v>
      </c>
      <c r="T365" s="1" t="s">
        <v>33</v>
      </c>
      <c r="V365">
        <v>3</v>
      </c>
      <c r="W365" t="str">
        <f>IF(TRIM(sales_dataset[[#This Row],[Quantity]])="",V371,PROPER(TRIM(sales_dataset[[#This Row],[Quantity]])))</f>
        <v>3</v>
      </c>
      <c r="Z365">
        <f>IF(TRIM(sales_dataset[[#This Row],[UnitPrice]])="",Y367,PROPER(TRIM(sales_dataset[[#This Row],[UnitPrice]])))</f>
        <v>0</v>
      </c>
      <c r="AC365" s="1">
        <f>IF(TRIM(sales_dataset[[#This Row],[TotalRevenue]])="",AB367,PROPER(TRIM(sales_dataset[[#This Row],[TotalRevenue]])))</f>
        <v>0</v>
      </c>
      <c r="AD365" s="1">
        <f>ABS(sales_dataset[[#This Row],[Column5]])</f>
        <v>0</v>
      </c>
      <c r="AE365" s="1">
        <f>sales_dataset[[#This Row],[Column17]]*sales_dataset[[#This Row],[Column16]]</f>
        <v>0</v>
      </c>
    </row>
    <row r="366" spans="3:31" x14ac:dyDescent="0.3">
      <c r="C366" s="1" t="s">
        <v>51</v>
      </c>
      <c r="F366" s="1" t="s">
        <v>60</v>
      </c>
      <c r="H366" s="1" t="s">
        <v>147</v>
      </c>
      <c r="J366" s="1" t="s">
        <v>19</v>
      </c>
      <c r="K366" s="1" t="str">
        <f>IF(TRIM(sales_dataset[[#This Row],[Region]])="", J368, PROPER(TRIM(sales_dataset[[#This Row],[Region]])))</f>
        <v/>
      </c>
      <c r="N366" s="1" t="s">
        <v>21</v>
      </c>
      <c r="Q366" s="1" t="s">
        <v>19</v>
      </c>
      <c r="R366" s="1" t="str">
        <f>IF(TRIM(sales_dataset[[#This Row],[ProductCategory]])="", R384, PROPER(TRIM(sales_dataset[[#This Row],[ProductCategory]])))</f>
        <v>Electronics</v>
      </c>
      <c r="T366" s="1" t="s">
        <v>87</v>
      </c>
      <c r="V366">
        <v>2</v>
      </c>
      <c r="W366" t="str">
        <f>IF(TRIM(sales_dataset[[#This Row],[Quantity]])="",V372,PROPER(TRIM(sales_dataset[[#This Row],[Quantity]])))</f>
        <v>2</v>
      </c>
      <c r="Y366">
        <v>500</v>
      </c>
      <c r="Z366" t="str">
        <f>IF(TRIM(sales_dataset[[#This Row],[UnitPrice]])="",Y368,PROPER(TRIM(sales_dataset[[#This Row],[UnitPrice]])))</f>
        <v>500</v>
      </c>
      <c r="AB366">
        <v>1000</v>
      </c>
      <c r="AC366" s="1" t="str">
        <f>IF(TRIM(sales_dataset[[#This Row],[TotalRevenue]])="",AB368,PROPER(TRIM(sales_dataset[[#This Row],[TotalRevenue]])))</f>
        <v>1000</v>
      </c>
      <c r="AD366" s="1">
        <f>ABS(sales_dataset[[#This Row],[Column5]])</f>
        <v>1000</v>
      </c>
      <c r="AE366" s="1">
        <f>sales_dataset[[#This Row],[Column17]]*sales_dataset[[#This Row],[Column16]]</f>
        <v>0</v>
      </c>
    </row>
    <row r="367" spans="3:31" x14ac:dyDescent="0.3">
      <c r="C367" s="1" t="s">
        <v>19</v>
      </c>
      <c r="F367" s="1" t="s">
        <v>72</v>
      </c>
      <c r="H367" s="1" t="s">
        <v>147</v>
      </c>
      <c r="J367" s="1" t="s">
        <v>19</v>
      </c>
      <c r="K367" s="1" t="str">
        <f>IF(TRIM(sales_dataset[[#This Row],[Region]])="", J369, PROPER(TRIM(sales_dataset[[#This Row],[Region]])))</f>
        <v/>
      </c>
      <c r="N367" s="1" t="s">
        <v>30</v>
      </c>
      <c r="Q367" s="1" t="s">
        <v>41</v>
      </c>
      <c r="R367" s="1" t="str">
        <f>IF(TRIM(sales_dataset[[#This Row],[ProductCategory]])="", R385, PROPER(TRIM(sales_dataset[[#This Row],[ProductCategory]])))</f>
        <v>Home</v>
      </c>
      <c r="T367" s="1" t="s">
        <v>87</v>
      </c>
      <c r="V367">
        <v>3</v>
      </c>
      <c r="W367" t="str">
        <f>IF(TRIM(sales_dataset[[#This Row],[Quantity]])="",V373,PROPER(TRIM(sales_dataset[[#This Row],[Quantity]])))</f>
        <v>3</v>
      </c>
      <c r="Z367">
        <f>IF(TRIM(sales_dataset[[#This Row],[UnitPrice]])="",Y369,PROPER(TRIM(sales_dataset[[#This Row],[UnitPrice]])))</f>
        <v>-100</v>
      </c>
      <c r="AC367" s="1">
        <f>IF(TRIM(sales_dataset[[#This Row],[TotalRevenue]])="",AB369,PROPER(TRIM(sales_dataset[[#This Row],[TotalRevenue]])))</f>
        <v>-100</v>
      </c>
      <c r="AD367" s="1">
        <f>ABS(sales_dataset[[#This Row],[Column5]])</f>
        <v>100</v>
      </c>
      <c r="AE367" s="1">
        <f>sales_dataset[[#This Row],[Column17]]*sales_dataset[[#This Row],[Column16]]</f>
        <v>0</v>
      </c>
    </row>
    <row r="368" spans="3:31" x14ac:dyDescent="0.3">
      <c r="C368" s="1" t="s">
        <v>16</v>
      </c>
      <c r="F368" s="1" t="s">
        <v>19</v>
      </c>
      <c r="H368" s="1" t="s">
        <v>19</v>
      </c>
      <c r="J368" s="1" t="s">
        <v>19</v>
      </c>
      <c r="K368" s="1" t="str">
        <f>IF(TRIM(sales_dataset[[#This Row],[Region]])="", J370, PROPER(TRIM(sales_dataset[[#This Row],[Region]])))</f>
        <v>South</v>
      </c>
      <c r="N368" s="1" t="s">
        <v>19</v>
      </c>
      <c r="Q368" s="1" t="s">
        <v>19</v>
      </c>
      <c r="R368" s="1" t="str">
        <f>IF(TRIM(sales_dataset[[#This Row],[ProductCategory]])="", R386, PROPER(TRIM(sales_dataset[[#This Row],[ProductCategory]])))</f>
        <v>Home</v>
      </c>
      <c r="T368" s="1" t="s">
        <v>87</v>
      </c>
      <c r="V368">
        <v>3</v>
      </c>
      <c r="W368" t="str">
        <f>IF(TRIM(sales_dataset[[#This Row],[Quantity]])="",V374,PROPER(TRIM(sales_dataset[[#This Row],[Quantity]])))</f>
        <v>3</v>
      </c>
      <c r="Y368">
        <v>2500</v>
      </c>
      <c r="Z368" t="str">
        <f>IF(TRIM(sales_dataset[[#This Row],[UnitPrice]])="",Y370,PROPER(TRIM(sales_dataset[[#This Row],[UnitPrice]])))</f>
        <v>2500</v>
      </c>
      <c r="AB368">
        <v>7500</v>
      </c>
      <c r="AC368" s="1" t="str">
        <f>IF(TRIM(sales_dataset[[#This Row],[TotalRevenue]])="",AB370,PROPER(TRIM(sales_dataset[[#This Row],[TotalRevenue]])))</f>
        <v>7500</v>
      </c>
      <c r="AD368" s="1">
        <f>ABS(sales_dataset[[#This Row],[Column5]])</f>
        <v>7500</v>
      </c>
      <c r="AE368" s="1">
        <f>sales_dataset[[#This Row],[Column17]]*sales_dataset[[#This Row],[Column16]]</f>
        <v>0</v>
      </c>
    </row>
    <row r="369" spans="3:31" x14ac:dyDescent="0.3">
      <c r="C369" s="1" t="s">
        <v>25</v>
      </c>
      <c r="F369" s="1" t="s">
        <v>72</v>
      </c>
      <c r="H369" s="1" t="s">
        <v>45</v>
      </c>
      <c r="J369" s="1" t="s">
        <v>19</v>
      </c>
      <c r="K369" s="1" t="str">
        <f>IF(TRIM(sales_dataset[[#This Row],[Region]])="", J371, PROPER(TRIM(sales_dataset[[#This Row],[Region]])))</f>
        <v>East</v>
      </c>
      <c r="N369" s="1" t="s">
        <v>21</v>
      </c>
      <c r="Q369" s="1" t="s">
        <v>63</v>
      </c>
      <c r="R369" s="1" t="str">
        <f>IF(TRIM(sales_dataset[[#This Row],[ProductCategory]])="", R387, PROPER(TRIM(sales_dataset[[#This Row],[ProductCategory]])))</f>
        <v>Clothing</v>
      </c>
      <c r="T369" s="1" t="s">
        <v>33</v>
      </c>
      <c r="V369">
        <v>1</v>
      </c>
      <c r="W369" t="str">
        <f>IF(TRIM(sales_dataset[[#This Row],[Quantity]])="",V375,PROPER(TRIM(sales_dataset[[#This Row],[Quantity]])))</f>
        <v>1</v>
      </c>
      <c r="Y369">
        <v>-100</v>
      </c>
      <c r="Z369" t="str">
        <f>IF(TRIM(sales_dataset[[#This Row],[UnitPrice]])="",Y371,PROPER(TRIM(sales_dataset[[#This Row],[UnitPrice]])))</f>
        <v>-100</v>
      </c>
      <c r="AB369">
        <v>-100</v>
      </c>
      <c r="AC369" s="1" t="str">
        <f>IF(TRIM(sales_dataset[[#This Row],[TotalRevenue]])="",AB371,PROPER(TRIM(sales_dataset[[#This Row],[TotalRevenue]])))</f>
        <v>-100</v>
      </c>
      <c r="AD369" s="1">
        <f>ABS(sales_dataset[[#This Row],[Column5]])</f>
        <v>100</v>
      </c>
      <c r="AE369" s="1">
        <f>sales_dataset[[#This Row],[Column17]]*sales_dataset[[#This Row],[Column16]]</f>
        <v>0</v>
      </c>
    </row>
    <row r="370" spans="3:31" x14ac:dyDescent="0.3">
      <c r="C370" s="1" t="s">
        <v>35</v>
      </c>
      <c r="F370" s="1" t="s">
        <v>19</v>
      </c>
      <c r="H370" s="1" t="s">
        <v>19</v>
      </c>
      <c r="J370" s="1" t="s">
        <v>98</v>
      </c>
      <c r="K370" s="1" t="str">
        <f>IF(TRIM(sales_dataset[[#This Row],[Region]])="", J372, PROPER(TRIM(sales_dataset[[#This Row],[Region]])))</f>
        <v>South</v>
      </c>
      <c r="N370" s="1" t="s">
        <v>56</v>
      </c>
      <c r="Q370" s="1" t="s">
        <v>63</v>
      </c>
      <c r="R370" s="1" t="str">
        <f>IF(TRIM(sales_dataset[[#This Row],[ProductCategory]])="", R388, PROPER(TRIM(sales_dataset[[#This Row],[ProductCategory]])))</f>
        <v>Clothing</v>
      </c>
      <c r="T370" s="1" t="s">
        <v>76</v>
      </c>
      <c r="V370">
        <v>5</v>
      </c>
      <c r="W370" t="str">
        <f>IF(TRIM(sales_dataset[[#This Row],[Quantity]])="",V376,PROPER(TRIM(sales_dataset[[#This Row],[Quantity]])))</f>
        <v>5</v>
      </c>
      <c r="Z370">
        <f>IF(TRIM(sales_dataset[[#This Row],[UnitPrice]])="",Y372,PROPER(TRIM(sales_dataset[[#This Row],[UnitPrice]])))</f>
        <v>2000</v>
      </c>
      <c r="AC370" s="1">
        <f>IF(TRIM(sales_dataset[[#This Row],[TotalRevenue]])="",AB372,PROPER(TRIM(sales_dataset[[#This Row],[TotalRevenue]])))</f>
        <v>10000</v>
      </c>
      <c r="AD370" s="1">
        <f>ABS(sales_dataset[[#This Row],[Column5]])</f>
        <v>10000</v>
      </c>
      <c r="AE370" s="1">
        <f>sales_dataset[[#This Row],[Column17]]*sales_dataset[[#This Row],[Column16]]</f>
        <v>0</v>
      </c>
    </row>
    <row r="371" spans="3:31" x14ac:dyDescent="0.3">
      <c r="C371" s="1" t="s">
        <v>43</v>
      </c>
      <c r="F371" s="1" t="s">
        <v>53</v>
      </c>
      <c r="H371" s="1" t="s">
        <v>45</v>
      </c>
      <c r="J371" s="1" t="s">
        <v>80</v>
      </c>
      <c r="K371" s="1" t="str">
        <f>IF(TRIM(sales_dataset[[#This Row],[Region]])="", J373, PROPER(TRIM(sales_dataset[[#This Row],[Region]])))</f>
        <v>East</v>
      </c>
      <c r="N371" s="1" t="s">
        <v>56</v>
      </c>
      <c r="Q371" s="1" t="s">
        <v>82</v>
      </c>
      <c r="R371" s="1" t="str">
        <f>IF(TRIM(sales_dataset[[#This Row],[ProductCategory]])="", R389, PROPER(TRIM(sales_dataset[[#This Row],[ProductCategory]])))</f>
        <v>Electronics</v>
      </c>
      <c r="T371" s="1" t="s">
        <v>76</v>
      </c>
      <c r="V371">
        <v>2</v>
      </c>
      <c r="W371" t="str">
        <f>IF(TRIM(sales_dataset[[#This Row],[Quantity]])="",V377,PROPER(TRIM(sales_dataset[[#This Row],[Quantity]])))</f>
        <v>2</v>
      </c>
      <c r="Y371">
        <v>500</v>
      </c>
      <c r="Z371" t="str">
        <f>IF(TRIM(sales_dataset[[#This Row],[UnitPrice]])="",Y373,PROPER(TRIM(sales_dataset[[#This Row],[UnitPrice]])))</f>
        <v>500</v>
      </c>
      <c r="AB371">
        <v>1000</v>
      </c>
      <c r="AC371" s="1" t="str">
        <f>IF(TRIM(sales_dataset[[#This Row],[TotalRevenue]])="",AB373,PROPER(TRIM(sales_dataset[[#This Row],[TotalRevenue]])))</f>
        <v>1000</v>
      </c>
      <c r="AD371" s="1">
        <f>ABS(sales_dataset[[#This Row],[Column5]])</f>
        <v>1000</v>
      </c>
      <c r="AE371" s="1">
        <f>sales_dataset[[#This Row],[Column17]]*sales_dataset[[#This Row],[Column16]]</f>
        <v>0</v>
      </c>
    </row>
    <row r="372" spans="3:31" x14ac:dyDescent="0.3">
      <c r="C372" s="1" t="s">
        <v>51</v>
      </c>
      <c r="F372" s="1" t="s">
        <v>53</v>
      </c>
      <c r="H372" s="1" t="s">
        <v>147</v>
      </c>
      <c r="J372" s="1" t="s">
        <v>37</v>
      </c>
      <c r="K372" s="1" t="str">
        <f>IF(TRIM(sales_dataset[[#This Row],[Region]])="", J374, PROPER(TRIM(sales_dataset[[#This Row],[Region]])))</f>
        <v>North</v>
      </c>
      <c r="N372" s="1" t="s">
        <v>39</v>
      </c>
      <c r="Q372" s="1" t="s">
        <v>63</v>
      </c>
      <c r="R372" s="1" t="str">
        <f>IF(TRIM(sales_dataset[[#This Row],[ProductCategory]])="", R390, PROPER(TRIM(sales_dataset[[#This Row],[ProductCategory]])))</f>
        <v>Clothing</v>
      </c>
      <c r="T372" s="1" t="s">
        <v>19</v>
      </c>
      <c r="V372">
        <v>5</v>
      </c>
      <c r="W372" t="str">
        <f>IF(TRIM(sales_dataset[[#This Row],[Quantity]])="",V378,PROPER(TRIM(sales_dataset[[#This Row],[Quantity]])))</f>
        <v>5</v>
      </c>
      <c r="Y372">
        <v>2000</v>
      </c>
      <c r="Z372" t="str">
        <f>IF(TRIM(sales_dataset[[#This Row],[UnitPrice]])="",Y374,PROPER(TRIM(sales_dataset[[#This Row],[UnitPrice]])))</f>
        <v>2000</v>
      </c>
      <c r="AB372">
        <v>10000</v>
      </c>
      <c r="AC372" s="1" t="str">
        <f>IF(TRIM(sales_dataset[[#This Row],[TotalRevenue]])="",AB374,PROPER(TRIM(sales_dataset[[#This Row],[TotalRevenue]])))</f>
        <v>10000</v>
      </c>
      <c r="AD372" s="1">
        <f>ABS(sales_dataset[[#This Row],[Column5]])</f>
        <v>10000</v>
      </c>
      <c r="AE372" s="1">
        <f>sales_dataset[[#This Row],[Column17]]*sales_dataset[[#This Row],[Column16]]</f>
        <v>0</v>
      </c>
    </row>
    <row r="373" spans="3:31" x14ac:dyDescent="0.3">
      <c r="C373" s="1" t="s">
        <v>19</v>
      </c>
      <c r="F373" s="1" t="s">
        <v>53</v>
      </c>
      <c r="H373" s="1" t="s">
        <v>79</v>
      </c>
      <c r="J373" s="1" t="s">
        <v>98</v>
      </c>
      <c r="K373" s="1" t="str">
        <f>IF(TRIM(sales_dataset[[#This Row],[Region]])="", J375, PROPER(TRIM(sales_dataset[[#This Row],[Region]])))</f>
        <v>South</v>
      </c>
      <c r="N373" s="1" t="s">
        <v>21</v>
      </c>
      <c r="Q373" s="1" t="s">
        <v>63</v>
      </c>
      <c r="R373" s="1" t="str">
        <f>IF(TRIM(sales_dataset[[#This Row],[ProductCategory]])="", R391, PROPER(TRIM(sales_dataset[[#This Row],[ProductCategory]])))</f>
        <v>Clothing</v>
      </c>
      <c r="T373" s="1" t="s">
        <v>33</v>
      </c>
      <c r="W373">
        <f>IF(TRIM(sales_dataset[[#This Row],[Quantity]])="",V379,PROPER(TRIM(sales_dataset[[#This Row],[Quantity]])))</f>
        <v>4</v>
      </c>
      <c r="Y373">
        <v>-100</v>
      </c>
      <c r="Z373" t="str">
        <f>IF(TRIM(sales_dataset[[#This Row],[UnitPrice]])="",Y375,PROPER(TRIM(sales_dataset[[#This Row],[UnitPrice]])))</f>
        <v>-100</v>
      </c>
      <c r="AC373" s="1">
        <f>IF(TRIM(sales_dataset[[#This Row],[TotalRevenue]])="",AB375,PROPER(TRIM(sales_dataset[[#This Row],[TotalRevenue]])))</f>
        <v>4000</v>
      </c>
      <c r="AD373" s="1">
        <f>ABS(sales_dataset[[#This Row],[Column5]])</f>
        <v>4000</v>
      </c>
      <c r="AE373" s="1">
        <f>sales_dataset[[#This Row],[Column17]]*sales_dataset[[#This Row],[Column16]]</f>
        <v>0</v>
      </c>
    </row>
    <row r="374" spans="3:31" x14ac:dyDescent="0.3">
      <c r="C374" s="1" t="s">
        <v>16</v>
      </c>
      <c r="F374" s="1" t="s">
        <v>27</v>
      </c>
      <c r="H374" s="1" t="s">
        <v>45</v>
      </c>
      <c r="J374" s="1" t="s">
        <v>46</v>
      </c>
      <c r="K374" s="1" t="str">
        <f>IF(TRIM(sales_dataset[[#This Row],[Region]])="", J376, PROPER(TRIM(sales_dataset[[#This Row],[Region]])))</f>
        <v>North</v>
      </c>
      <c r="N374" s="1" t="s">
        <v>48</v>
      </c>
      <c r="Q374" s="1" t="s">
        <v>41</v>
      </c>
      <c r="R374" s="1" t="str">
        <f>IF(TRIM(sales_dataset[[#This Row],[ProductCategory]])="", R392, PROPER(TRIM(sales_dataset[[#This Row],[ProductCategory]])))</f>
        <v>Home</v>
      </c>
      <c r="T374" s="1" t="s">
        <v>76</v>
      </c>
      <c r="V374">
        <v>4</v>
      </c>
      <c r="W374" t="str">
        <f>IF(TRIM(sales_dataset[[#This Row],[Quantity]])="",V380,PROPER(TRIM(sales_dataset[[#This Row],[Quantity]])))</f>
        <v>4</v>
      </c>
      <c r="Y374">
        <v>500</v>
      </c>
      <c r="Z374" t="str">
        <f>IF(TRIM(sales_dataset[[#This Row],[UnitPrice]])="",Y376,PROPER(TRIM(sales_dataset[[#This Row],[UnitPrice]])))</f>
        <v>500</v>
      </c>
      <c r="AB374">
        <v>2000</v>
      </c>
      <c r="AC374" s="1" t="str">
        <f>IF(TRIM(sales_dataset[[#This Row],[TotalRevenue]])="",AB376,PROPER(TRIM(sales_dataset[[#This Row],[TotalRevenue]])))</f>
        <v>2000</v>
      </c>
      <c r="AD374" s="1">
        <f>ABS(sales_dataset[[#This Row],[Column5]])</f>
        <v>2000</v>
      </c>
      <c r="AE374" s="1">
        <f>sales_dataset[[#This Row],[Column17]]*sales_dataset[[#This Row],[Column16]]</f>
        <v>0</v>
      </c>
    </row>
    <row r="375" spans="3:31" x14ac:dyDescent="0.3">
      <c r="C375" s="1" t="s">
        <v>25</v>
      </c>
      <c r="F375" s="1" t="s">
        <v>19</v>
      </c>
      <c r="H375" s="1" t="s">
        <v>79</v>
      </c>
      <c r="J375" s="1" t="s">
        <v>98</v>
      </c>
      <c r="K375" s="1" t="str">
        <f>IF(TRIM(sales_dataset[[#This Row],[Region]])="", J377, PROPER(TRIM(sales_dataset[[#This Row],[Region]])))</f>
        <v>South</v>
      </c>
      <c r="N375" s="1" t="s">
        <v>56</v>
      </c>
      <c r="Q375" s="1" t="s">
        <v>19</v>
      </c>
      <c r="R375" s="1" t="str">
        <f>IF(TRIM(sales_dataset[[#This Row],[ProductCategory]])="", R393, PROPER(TRIM(sales_dataset[[#This Row],[ProductCategory]])))</f>
        <v>Electronics</v>
      </c>
      <c r="T375" s="1" t="s">
        <v>33</v>
      </c>
      <c r="V375">
        <v>4</v>
      </c>
      <c r="W375" t="str">
        <f>IF(TRIM(sales_dataset[[#This Row],[Quantity]])="",V381,PROPER(TRIM(sales_dataset[[#This Row],[Quantity]])))</f>
        <v>4</v>
      </c>
      <c r="Y375">
        <v>2000</v>
      </c>
      <c r="Z375" t="str">
        <f>IF(TRIM(sales_dataset[[#This Row],[UnitPrice]])="",Y377,PROPER(TRIM(sales_dataset[[#This Row],[UnitPrice]])))</f>
        <v>2000</v>
      </c>
      <c r="AB375">
        <v>4000</v>
      </c>
      <c r="AC375" s="1" t="str">
        <f>IF(TRIM(sales_dataset[[#This Row],[TotalRevenue]])="",AB377,PROPER(TRIM(sales_dataset[[#This Row],[TotalRevenue]])))</f>
        <v>4000</v>
      </c>
      <c r="AD375" s="1">
        <f>ABS(sales_dataset[[#This Row],[Column5]])</f>
        <v>4000</v>
      </c>
      <c r="AE375" s="1">
        <f>sales_dataset[[#This Row],[Column17]]*sales_dataset[[#This Row],[Column16]]</f>
        <v>0</v>
      </c>
    </row>
    <row r="376" spans="3:31" x14ac:dyDescent="0.3">
      <c r="C376" s="1" t="s">
        <v>35</v>
      </c>
      <c r="F376" s="1" t="s">
        <v>19</v>
      </c>
      <c r="H376" s="1" t="s">
        <v>79</v>
      </c>
      <c r="J376" s="1" t="s">
        <v>98</v>
      </c>
      <c r="K376" s="1" t="str">
        <f>IF(TRIM(sales_dataset[[#This Row],[Region]])="", J378, PROPER(TRIM(sales_dataset[[#This Row],[Region]])))</f>
        <v>South</v>
      </c>
      <c r="N376" s="1" t="s">
        <v>56</v>
      </c>
      <c r="Q376" s="1" t="s">
        <v>82</v>
      </c>
      <c r="R376" s="1" t="str">
        <f>IF(TRIM(sales_dataset[[#This Row],[ProductCategory]])="", R394, PROPER(TRIM(sales_dataset[[#This Row],[ProductCategory]])))</f>
        <v>Electronics</v>
      </c>
      <c r="T376" s="1" t="s">
        <v>69</v>
      </c>
      <c r="V376">
        <v>-1</v>
      </c>
      <c r="W376" t="str">
        <f>IF(TRIM(sales_dataset[[#This Row],[Quantity]])="",V382,PROPER(TRIM(sales_dataset[[#This Row],[Quantity]])))</f>
        <v>-1</v>
      </c>
      <c r="Y376">
        <v>500</v>
      </c>
      <c r="Z376" t="str">
        <f>IF(TRIM(sales_dataset[[#This Row],[UnitPrice]])="",Y378,PROPER(TRIM(sales_dataset[[#This Row],[UnitPrice]])))</f>
        <v>500</v>
      </c>
      <c r="AB376">
        <v>-500</v>
      </c>
      <c r="AC376" s="1" t="str">
        <f>IF(TRIM(sales_dataset[[#This Row],[TotalRevenue]])="",AB378,PROPER(TRIM(sales_dataset[[#This Row],[TotalRevenue]])))</f>
        <v>-500</v>
      </c>
      <c r="AD376" s="1">
        <f>ABS(sales_dataset[[#This Row],[Column5]])</f>
        <v>500</v>
      </c>
      <c r="AE376" s="1">
        <f>sales_dataset[[#This Row],[Column17]]*sales_dataset[[#This Row],[Column16]]</f>
        <v>0</v>
      </c>
    </row>
    <row r="377" spans="3:31" x14ac:dyDescent="0.3">
      <c r="C377" s="1" t="s">
        <v>43</v>
      </c>
      <c r="F377" s="1" t="s">
        <v>118</v>
      </c>
      <c r="H377" s="1" t="s">
        <v>45</v>
      </c>
      <c r="J377" s="1" t="s">
        <v>98</v>
      </c>
      <c r="K377" s="1" t="str">
        <f>IF(TRIM(sales_dataset[[#This Row],[Region]])="", J379, PROPER(TRIM(sales_dataset[[#This Row],[Region]])))</f>
        <v>South</v>
      </c>
      <c r="N377" s="1" t="s">
        <v>39</v>
      </c>
      <c r="Q377" s="1" t="s">
        <v>63</v>
      </c>
      <c r="R377" s="1" t="str">
        <f>IF(TRIM(sales_dataset[[#This Row],[ProductCategory]])="", R395, PROPER(TRIM(sales_dataset[[#This Row],[ProductCategory]])))</f>
        <v>Clothing</v>
      </c>
      <c r="T377" s="1" t="s">
        <v>76</v>
      </c>
      <c r="V377">
        <v>2</v>
      </c>
      <c r="W377" t="str">
        <f>IF(TRIM(sales_dataset[[#This Row],[Quantity]])="",V383,PROPER(TRIM(sales_dataset[[#This Row],[Quantity]])))</f>
        <v>2</v>
      </c>
      <c r="Y377">
        <v>1500</v>
      </c>
      <c r="Z377" t="str">
        <f>IF(TRIM(sales_dataset[[#This Row],[UnitPrice]])="",Y379,PROPER(TRIM(sales_dataset[[#This Row],[UnitPrice]])))</f>
        <v>1500</v>
      </c>
      <c r="AB377">
        <v>3000</v>
      </c>
      <c r="AC377" s="1" t="str">
        <f>IF(TRIM(sales_dataset[[#This Row],[TotalRevenue]])="",AB379,PROPER(TRIM(sales_dataset[[#This Row],[TotalRevenue]])))</f>
        <v>3000</v>
      </c>
      <c r="AD377" s="1">
        <f>ABS(sales_dataset[[#This Row],[Column5]])</f>
        <v>3000</v>
      </c>
      <c r="AE377" s="1">
        <f>sales_dataset[[#This Row],[Column17]]*sales_dataset[[#This Row],[Column16]]</f>
        <v>0</v>
      </c>
    </row>
    <row r="378" spans="3:31" x14ac:dyDescent="0.3">
      <c r="C378" s="1" t="s">
        <v>51</v>
      </c>
      <c r="F378" s="1" t="s">
        <v>18</v>
      </c>
      <c r="H378" s="1" t="s">
        <v>54</v>
      </c>
      <c r="J378" s="1" t="s">
        <v>66</v>
      </c>
      <c r="K378" s="1" t="str">
        <f>IF(TRIM(sales_dataset[[#This Row],[Region]])="", J380, PROPER(TRIM(sales_dataset[[#This Row],[Region]])))</f>
        <v>West</v>
      </c>
      <c r="N378" s="1" t="s">
        <v>19</v>
      </c>
      <c r="Q378" s="1" t="s">
        <v>19</v>
      </c>
      <c r="R378" s="1" t="str">
        <f>IF(TRIM(sales_dataset[[#This Row],[ProductCategory]])="", R396, PROPER(TRIM(sales_dataset[[#This Row],[ProductCategory]])))</f>
        <v>Home</v>
      </c>
      <c r="T378" s="1" t="s">
        <v>33</v>
      </c>
      <c r="V378">
        <v>1</v>
      </c>
      <c r="W378" t="str">
        <f>IF(TRIM(sales_dataset[[#This Row],[Quantity]])="",V384,PROPER(TRIM(sales_dataset[[#This Row],[Quantity]])))</f>
        <v>1</v>
      </c>
      <c r="Y378">
        <v>-100</v>
      </c>
      <c r="Z378" t="str">
        <f>IF(TRIM(sales_dataset[[#This Row],[UnitPrice]])="",Y380,PROPER(TRIM(sales_dataset[[#This Row],[UnitPrice]])))</f>
        <v>-100</v>
      </c>
      <c r="AB378">
        <v>-50</v>
      </c>
      <c r="AC378" s="1" t="str">
        <f>IF(TRIM(sales_dataset[[#This Row],[TotalRevenue]])="",AB380,PROPER(TRIM(sales_dataset[[#This Row],[TotalRevenue]])))</f>
        <v>-50</v>
      </c>
      <c r="AD378" s="1">
        <f>ABS(sales_dataset[[#This Row],[Column5]])</f>
        <v>50</v>
      </c>
      <c r="AE378" s="1">
        <f>sales_dataset[[#This Row],[Column17]]*sales_dataset[[#This Row],[Column16]]</f>
        <v>0</v>
      </c>
    </row>
    <row r="379" spans="3:31" x14ac:dyDescent="0.3">
      <c r="C379" s="1" t="s">
        <v>19</v>
      </c>
      <c r="F379" s="1" t="s">
        <v>60</v>
      </c>
      <c r="H379" s="1" t="s">
        <v>19</v>
      </c>
      <c r="J379" s="1" t="s">
        <v>46</v>
      </c>
      <c r="K379" s="1" t="str">
        <f>IF(TRIM(sales_dataset[[#This Row],[Region]])="", J381, PROPER(TRIM(sales_dataset[[#This Row],[Region]])))</f>
        <v>North</v>
      </c>
      <c r="N379" s="1" t="s">
        <v>48</v>
      </c>
      <c r="Q379" s="1" t="s">
        <v>32</v>
      </c>
      <c r="R379" s="1" t="str">
        <f>IF(TRIM(sales_dataset[[#This Row],[ProductCategory]])="", R397, PROPER(TRIM(sales_dataset[[#This Row],[ProductCategory]])))</f>
        <v>Electronics</v>
      </c>
      <c r="T379" s="1" t="s">
        <v>87</v>
      </c>
      <c r="V379">
        <v>4</v>
      </c>
      <c r="W379" t="str">
        <f>IF(TRIM(sales_dataset[[#This Row],[Quantity]])="",V385,PROPER(TRIM(sales_dataset[[#This Row],[Quantity]])))</f>
        <v>4</v>
      </c>
      <c r="Z379">
        <f>IF(TRIM(sales_dataset[[#This Row],[UnitPrice]])="",Y381,PROPER(TRIM(sales_dataset[[#This Row],[UnitPrice]])))</f>
        <v>2000</v>
      </c>
      <c r="AC379" s="1">
        <f>IF(TRIM(sales_dataset[[#This Row],[TotalRevenue]])="",AB381,PROPER(TRIM(sales_dataset[[#This Row],[TotalRevenue]])))</f>
        <v>-2000</v>
      </c>
      <c r="AD379" s="1">
        <f>ABS(sales_dataset[[#This Row],[Column5]])</f>
        <v>2000</v>
      </c>
      <c r="AE379" s="1">
        <f>sales_dataset[[#This Row],[Column17]]*sales_dataset[[#This Row],[Column16]]</f>
        <v>0</v>
      </c>
    </row>
    <row r="380" spans="3:31" x14ac:dyDescent="0.3">
      <c r="C380" s="1" t="s">
        <v>16</v>
      </c>
      <c r="F380" s="1" t="s">
        <v>19</v>
      </c>
      <c r="H380" s="1" t="s">
        <v>79</v>
      </c>
      <c r="J380" s="1" t="s">
        <v>80</v>
      </c>
      <c r="K380" s="1" t="str">
        <f>IF(TRIM(sales_dataset[[#This Row],[Region]])="", J382, PROPER(TRIM(sales_dataset[[#This Row],[Region]])))</f>
        <v>East</v>
      </c>
      <c r="N380" s="1" t="s">
        <v>19</v>
      </c>
      <c r="Q380" s="1" t="s">
        <v>41</v>
      </c>
      <c r="R380" s="1" t="str">
        <f>IF(TRIM(sales_dataset[[#This Row],[ProductCategory]])="", R398, PROPER(TRIM(sales_dataset[[#This Row],[ProductCategory]])))</f>
        <v>Home</v>
      </c>
      <c r="T380" s="1" t="s">
        <v>95</v>
      </c>
      <c r="V380">
        <v>4</v>
      </c>
      <c r="W380" t="str">
        <f>IF(TRIM(sales_dataset[[#This Row],[Quantity]])="",V386,PROPER(TRIM(sales_dataset[[#This Row],[Quantity]])))</f>
        <v>4</v>
      </c>
      <c r="Y380">
        <v>2500</v>
      </c>
      <c r="Z380" t="str">
        <f>IF(TRIM(sales_dataset[[#This Row],[UnitPrice]])="",Y382,PROPER(TRIM(sales_dataset[[#This Row],[UnitPrice]])))</f>
        <v>2500</v>
      </c>
      <c r="AB380">
        <v>10000</v>
      </c>
      <c r="AC380" s="1" t="str">
        <f>IF(TRIM(sales_dataset[[#This Row],[TotalRevenue]])="",AB382,PROPER(TRIM(sales_dataset[[#This Row],[TotalRevenue]])))</f>
        <v>10000</v>
      </c>
      <c r="AD380" s="1">
        <f>ABS(sales_dataset[[#This Row],[Column5]])</f>
        <v>10000</v>
      </c>
      <c r="AE380" s="1">
        <f>sales_dataset[[#This Row],[Column17]]*sales_dataset[[#This Row],[Column16]]</f>
        <v>0</v>
      </c>
    </row>
    <row r="381" spans="3:31" x14ac:dyDescent="0.3">
      <c r="C381" s="1" t="s">
        <v>25</v>
      </c>
      <c r="F381" s="1" t="s">
        <v>27</v>
      </c>
      <c r="H381" s="1" t="s">
        <v>54</v>
      </c>
      <c r="J381" s="1" t="s">
        <v>37</v>
      </c>
      <c r="K381" s="1" t="str">
        <f>IF(TRIM(sales_dataset[[#This Row],[Region]])="", J383, PROPER(TRIM(sales_dataset[[#This Row],[Region]])))</f>
        <v>North</v>
      </c>
      <c r="N381" s="1" t="s">
        <v>56</v>
      </c>
      <c r="Q381" s="1" t="s">
        <v>63</v>
      </c>
      <c r="R381" s="1" t="str">
        <f>IF(TRIM(sales_dataset[[#This Row],[ProductCategory]])="", R399, PROPER(TRIM(sales_dataset[[#This Row],[ProductCategory]])))</f>
        <v>Clothing</v>
      </c>
      <c r="T381" s="1" t="s">
        <v>19</v>
      </c>
      <c r="V381">
        <v>-1</v>
      </c>
      <c r="W381" t="str">
        <f>IF(TRIM(sales_dataset[[#This Row],[Quantity]])="",V387,PROPER(TRIM(sales_dataset[[#This Row],[Quantity]])))</f>
        <v>-1</v>
      </c>
      <c r="Y381">
        <v>2000</v>
      </c>
      <c r="Z381" t="str">
        <f>IF(TRIM(sales_dataset[[#This Row],[UnitPrice]])="",Y383,PROPER(TRIM(sales_dataset[[#This Row],[UnitPrice]])))</f>
        <v>2000</v>
      </c>
      <c r="AB381">
        <v>-2000</v>
      </c>
      <c r="AC381" s="1" t="str">
        <f>IF(TRIM(sales_dataset[[#This Row],[TotalRevenue]])="",AB383,PROPER(TRIM(sales_dataset[[#This Row],[TotalRevenue]])))</f>
        <v>-2000</v>
      </c>
      <c r="AD381" s="1">
        <f>ABS(sales_dataset[[#This Row],[Column5]])</f>
        <v>2000</v>
      </c>
      <c r="AE381" s="1">
        <f>sales_dataset[[#This Row],[Column17]]*sales_dataset[[#This Row],[Column16]]</f>
        <v>0</v>
      </c>
    </row>
    <row r="382" spans="3:31" x14ac:dyDescent="0.3">
      <c r="C382" s="1" t="s">
        <v>35</v>
      </c>
      <c r="F382" s="1" t="s">
        <v>60</v>
      </c>
      <c r="H382" s="1" t="s">
        <v>28</v>
      </c>
      <c r="J382" s="1" t="s">
        <v>37</v>
      </c>
      <c r="K382" s="1" t="str">
        <f>IF(TRIM(sales_dataset[[#This Row],[Region]])="", J384, PROPER(TRIM(sales_dataset[[#This Row],[Region]])))</f>
        <v>North</v>
      </c>
      <c r="N382" s="1" t="s">
        <v>30</v>
      </c>
      <c r="Q382" s="1" t="s">
        <v>63</v>
      </c>
      <c r="R382" s="1" t="str">
        <f>IF(TRIM(sales_dataset[[#This Row],[ProductCategory]])="", R400, PROPER(TRIM(sales_dataset[[#This Row],[ProductCategory]])))</f>
        <v>Clothing</v>
      </c>
      <c r="T382" s="1" t="s">
        <v>95</v>
      </c>
      <c r="V382">
        <v>5</v>
      </c>
      <c r="W382" t="str">
        <f>IF(TRIM(sales_dataset[[#This Row],[Quantity]])="",V388,PROPER(TRIM(sales_dataset[[#This Row],[Quantity]])))</f>
        <v>5</v>
      </c>
      <c r="Y382">
        <v>2000</v>
      </c>
      <c r="Z382" t="str">
        <f>IF(TRIM(sales_dataset[[#This Row],[UnitPrice]])="",Y384,PROPER(TRIM(sales_dataset[[#This Row],[UnitPrice]])))</f>
        <v>2000</v>
      </c>
      <c r="AB382">
        <v>5000</v>
      </c>
      <c r="AC382" s="1" t="str">
        <f>IF(TRIM(sales_dataset[[#This Row],[TotalRevenue]])="",AB384,PROPER(TRIM(sales_dataset[[#This Row],[TotalRevenue]])))</f>
        <v>5000</v>
      </c>
      <c r="AD382" s="1">
        <f>ABS(sales_dataset[[#This Row],[Column5]])</f>
        <v>5000</v>
      </c>
      <c r="AE382" s="1">
        <f>sales_dataset[[#This Row],[Column17]]*sales_dataset[[#This Row],[Column16]]</f>
        <v>0</v>
      </c>
    </row>
    <row r="383" spans="3:31" x14ac:dyDescent="0.3">
      <c r="C383" s="1" t="s">
        <v>43</v>
      </c>
      <c r="F383" s="1" t="s">
        <v>18</v>
      </c>
      <c r="H383" s="1" t="s">
        <v>147</v>
      </c>
      <c r="J383" s="1" t="s">
        <v>80</v>
      </c>
      <c r="K383" s="1" t="str">
        <f>IF(TRIM(sales_dataset[[#This Row],[Region]])="", J385, PROPER(TRIM(sales_dataset[[#This Row],[Region]])))</f>
        <v>East</v>
      </c>
      <c r="N383" s="1" t="s">
        <v>48</v>
      </c>
      <c r="Q383" s="1" t="s">
        <v>63</v>
      </c>
      <c r="R383" s="1" t="str">
        <f>IF(TRIM(sales_dataset[[#This Row],[ProductCategory]])="", R401, PROPER(TRIM(sales_dataset[[#This Row],[ProductCategory]])))</f>
        <v>Clothing</v>
      </c>
      <c r="T383" s="1" t="s">
        <v>76</v>
      </c>
      <c r="V383">
        <v>4</v>
      </c>
      <c r="W383" t="str">
        <f>IF(TRIM(sales_dataset[[#This Row],[Quantity]])="",V389,PROPER(TRIM(sales_dataset[[#This Row],[Quantity]])))</f>
        <v>4</v>
      </c>
      <c r="Y383">
        <v>1500</v>
      </c>
      <c r="Z383" t="str">
        <f>IF(TRIM(sales_dataset[[#This Row],[UnitPrice]])="",Y385,PROPER(TRIM(sales_dataset[[#This Row],[UnitPrice]])))</f>
        <v>1500</v>
      </c>
      <c r="AB383">
        <v>6000</v>
      </c>
      <c r="AC383" s="1" t="str">
        <f>IF(TRIM(sales_dataset[[#This Row],[TotalRevenue]])="",AB385,PROPER(TRIM(sales_dataset[[#This Row],[TotalRevenue]])))</f>
        <v>6000</v>
      </c>
      <c r="AD383" s="1">
        <f>ABS(sales_dataset[[#This Row],[Column5]])</f>
        <v>6000</v>
      </c>
      <c r="AE383" s="1">
        <f>sales_dataset[[#This Row],[Column17]]*sales_dataset[[#This Row],[Column16]]</f>
        <v>0</v>
      </c>
    </row>
    <row r="384" spans="3:31" x14ac:dyDescent="0.3">
      <c r="C384" s="1" t="s">
        <v>51</v>
      </c>
      <c r="F384" s="1" t="s">
        <v>118</v>
      </c>
      <c r="H384" s="1" t="s">
        <v>73</v>
      </c>
      <c r="J384" s="1" t="s">
        <v>66</v>
      </c>
      <c r="K384" s="1" t="str">
        <f>IF(TRIM(sales_dataset[[#This Row],[Region]])="", J386, PROPER(TRIM(sales_dataset[[#This Row],[Region]])))</f>
        <v>West</v>
      </c>
      <c r="N384" s="1" t="s">
        <v>21</v>
      </c>
      <c r="Q384" s="1" t="s">
        <v>19</v>
      </c>
      <c r="R384" s="1" t="str">
        <f>IF(TRIM(sales_dataset[[#This Row],[ProductCategory]])="", R402, PROPER(TRIM(sales_dataset[[#This Row],[ProductCategory]])))</f>
        <v>Electronics</v>
      </c>
      <c r="T384" s="1" t="s">
        <v>95</v>
      </c>
      <c r="V384">
        <v>1</v>
      </c>
      <c r="W384" t="str">
        <f>IF(TRIM(sales_dataset[[#This Row],[Quantity]])="",V390,PROPER(TRIM(sales_dataset[[#This Row],[Quantity]])))</f>
        <v>1</v>
      </c>
      <c r="Y384">
        <v>-100</v>
      </c>
      <c r="Z384" t="str">
        <f>IF(TRIM(sales_dataset[[#This Row],[UnitPrice]])="",Y386,PROPER(TRIM(sales_dataset[[#This Row],[UnitPrice]])))</f>
        <v>-100</v>
      </c>
      <c r="AB384">
        <v>-100</v>
      </c>
      <c r="AC384" s="1" t="str">
        <f>IF(TRIM(sales_dataset[[#This Row],[TotalRevenue]])="",AB386,PROPER(TRIM(sales_dataset[[#This Row],[TotalRevenue]])))</f>
        <v>-100</v>
      </c>
      <c r="AD384" s="1">
        <f>ABS(sales_dataset[[#This Row],[Column5]])</f>
        <v>100</v>
      </c>
      <c r="AE384" s="1">
        <f>sales_dataset[[#This Row],[Column17]]*sales_dataset[[#This Row],[Column16]]</f>
        <v>0</v>
      </c>
    </row>
    <row r="385" spans="3:31" x14ac:dyDescent="0.3">
      <c r="C385" s="1" t="s">
        <v>19</v>
      </c>
      <c r="F385" s="1" t="s">
        <v>60</v>
      </c>
      <c r="H385" s="1" t="s">
        <v>147</v>
      </c>
      <c r="J385" s="1" t="s">
        <v>37</v>
      </c>
      <c r="K385" s="1" t="str">
        <f>IF(TRIM(sales_dataset[[#This Row],[Region]])="", J387, PROPER(TRIM(sales_dataset[[#This Row],[Region]])))</f>
        <v>North</v>
      </c>
      <c r="N385" s="1" t="s">
        <v>39</v>
      </c>
      <c r="Q385" s="1" t="s">
        <v>41</v>
      </c>
      <c r="R385" s="1" t="str">
        <f>IF(TRIM(sales_dataset[[#This Row],[ProductCategory]])="", R403, PROPER(TRIM(sales_dataset[[#This Row],[ProductCategory]])))</f>
        <v>Home</v>
      </c>
      <c r="T385" s="1" t="s">
        <v>23</v>
      </c>
      <c r="V385">
        <v>-1</v>
      </c>
      <c r="W385" t="str">
        <f>IF(TRIM(sales_dataset[[#This Row],[Quantity]])="",V391,PROPER(TRIM(sales_dataset[[#This Row],[Quantity]])))</f>
        <v>-1</v>
      </c>
      <c r="Y385">
        <v>-100</v>
      </c>
      <c r="Z385" t="str">
        <f>IF(TRIM(sales_dataset[[#This Row],[UnitPrice]])="",Y387,PROPER(TRIM(sales_dataset[[#This Row],[UnitPrice]])))</f>
        <v>-100</v>
      </c>
      <c r="AB385">
        <v>100</v>
      </c>
      <c r="AC385" s="1" t="str">
        <f>IF(TRIM(sales_dataset[[#This Row],[TotalRevenue]])="",AB387,PROPER(TRIM(sales_dataset[[#This Row],[TotalRevenue]])))</f>
        <v>100</v>
      </c>
      <c r="AD385" s="1">
        <f>ABS(sales_dataset[[#This Row],[Column5]])</f>
        <v>100</v>
      </c>
      <c r="AE385" s="1">
        <f>sales_dataset[[#This Row],[Column17]]*sales_dataset[[#This Row],[Column16]]</f>
        <v>0</v>
      </c>
    </row>
    <row r="386" spans="3:31" x14ac:dyDescent="0.3">
      <c r="C386" s="1" t="s">
        <v>16</v>
      </c>
      <c r="F386" s="1" t="s">
        <v>27</v>
      </c>
      <c r="H386" s="1" t="s">
        <v>147</v>
      </c>
      <c r="J386" s="1" t="s">
        <v>98</v>
      </c>
      <c r="K386" s="1" t="str">
        <f>IF(TRIM(sales_dataset[[#This Row],[Region]])="", J388, PROPER(TRIM(sales_dataset[[#This Row],[Region]])))</f>
        <v>South</v>
      </c>
      <c r="N386" s="1" t="s">
        <v>19</v>
      </c>
      <c r="Q386" s="1" t="s">
        <v>41</v>
      </c>
      <c r="R386" s="1" t="str">
        <f>IF(TRIM(sales_dataset[[#This Row],[ProductCategory]])="", R404, PROPER(TRIM(sales_dataset[[#This Row],[ProductCategory]])))</f>
        <v>Home</v>
      </c>
      <c r="T386" s="1" t="s">
        <v>23</v>
      </c>
      <c r="V386">
        <v>4</v>
      </c>
      <c r="W386" t="str">
        <f>IF(TRIM(sales_dataset[[#This Row],[Quantity]])="",V392,PROPER(TRIM(sales_dataset[[#This Row],[Quantity]])))</f>
        <v>4</v>
      </c>
      <c r="Y386">
        <v>1500</v>
      </c>
      <c r="Z386" t="str">
        <f>IF(TRIM(sales_dataset[[#This Row],[UnitPrice]])="",Y388,PROPER(TRIM(sales_dataset[[#This Row],[UnitPrice]])))</f>
        <v>1500</v>
      </c>
      <c r="AB386">
        <v>6000</v>
      </c>
      <c r="AC386" s="1" t="str">
        <f>IF(TRIM(sales_dataset[[#This Row],[TotalRevenue]])="",AB388,PROPER(TRIM(sales_dataset[[#This Row],[TotalRevenue]])))</f>
        <v>6000</v>
      </c>
      <c r="AD386" s="1">
        <f>ABS(sales_dataset[[#This Row],[Column5]])</f>
        <v>6000</v>
      </c>
      <c r="AE386" s="1">
        <f>sales_dataset[[#This Row],[Column17]]*sales_dataset[[#This Row],[Column16]]</f>
        <v>0</v>
      </c>
    </row>
    <row r="387" spans="3:31" x14ac:dyDescent="0.3">
      <c r="C387" s="1" t="s">
        <v>25</v>
      </c>
      <c r="F387" s="1" t="s">
        <v>18</v>
      </c>
      <c r="H387" s="1" t="s">
        <v>79</v>
      </c>
      <c r="J387" s="1" t="s">
        <v>37</v>
      </c>
      <c r="K387" s="1" t="str">
        <f>IF(TRIM(sales_dataset[[#This Row],[Region]])="", J389, PROPER(TRIM(sales_dataset[[#This Row],[Region]])))</f>
        <v>North</v>
      </c>
      <c r="N387" s="1" t="s">
        <v>30</v>
      </c>
      <c r="Q387" s="1" t="s">
        <v>19</v>
      </c>
      <c r="R387" s="1" t="str">
        <f>IF(TRIM(sales_dataset[[#This Row],[ProductCategory]])="", R405, PROPER(TRIM(sales_dataset[[#This Row],[ProductCategory]])))</f>
        <v>Clothing</v>
      </c>
      <c r="T387" s="1" t="s">
        <v>95</v>
      </c>
      <c r="V387">
        <v>4</v>
      </c>
      <c r="W387" t="str">
        <f>IF(TRIM(sales_dataset[[#This Row],[Quantity]])="",V393,PROPER(TRIM(sales_dataset[[#This Row],[Quantity]])))</f>
        <v>4</v>
      </c>
      <c r="Y387">
        <v>500</v>
      </c>
      <c r="Z387" t="str">
        <f>IF(TRIM(sales_dataset[[#This Row],[UnitPrice]])="",Y389,PROPER(TRIM(sales_dataset[[#This Row],[UnitPrice]])))</f>
        <v>500</v>
      </c>
      <c r="AB387">
        <v>2000</v>
      </c>
      <c r="AC387" s="1" t="str">
        <f>IF(TRIM(sales_dataset[[#This Row],[TotalRevenue]])="",AB389,PROPER(TRIM(sales_dataset[[#This Row],[TotalRevenue]])))</f>
        <v>2000</v>
      </c>
      <c r="AD387" s="1">
        <f>ABS(sales_dataset[[#This Row],[Column5]])</f>
        <v>2000</v>
      </c>
      <c r="AE387" s="1">
        <f>sales_dataset[[#This Row],[Column17]]*sales_dataset[[#This Row],[Column16]]</f>
        <v>0</v>
      </c>
    </row>
    <row r="388" spans="3:31" x14ac:dyDescent="0.3">
      <c r="C388" s="1" t="s">
        <v>35</v>
      </c>
      <c r="F388" s="1" t="s">
        <v>53</v>
      </c>
      <c r="H388" s="1" t="s">
        <v>54</v>
      </c>
      <c r="J388" s="1" t="s">
        <v>46</v>
      </c>
      <c r="K388" s="1" t="str">
        <f>IF(TRIM(sales_dataset[[#This Row],[Region]])="", J390, PROPER(TRIM(sales_dataset[[#This Row],[Region]])))</f>
        <v>North</v>
      </c>
      <c r="N388" s="1" t="s">
        <v>30</v>
      </c>
      <c r="Q388" s="1" t="s">
        <v>82</v>
      </c>
      <c r="R388" s="1" t="str">
        <f>IF(TRIM(sales_dataset[[#This Row],[ProductCategory]])="", R406, PROPER(TRIM(sales_dataset[[#This Row],[ProductCategory]])))</f>
        <v>Electronics</v>
      </c>
      <c r="T388" s="1" t="s">
        <v>87</v>
      </c>
      <c r="V388">
        <v>3</v>
      </c>
      <c r="W388" t="str">
        <f>IF(TRIM(sales_dataset[[#This Row],[Quantity]])="",V394,PROPER(TRIM(sales_dataset[[#This Row],[Quantity]])))</f>
        <v>3</v>
      </c>
      <c r="Y388">
        <v>2000</v>
      </c>
      <c r="Z388" t="str">
        <f>IF(TRIM(sales_dataset[[#This Row],[UnitPrice]])="",Y390,PROPER(TRIM(sales_dataset[[#This Row],[UnitPrice]])))</f>
        <v>2000</v>
      </c>
      <c r="AB388">
        <v>6000</v>
      </c>
      <c r="AC388" s="1" t="str">
        <f>IF(TRIM(sales_dataset[[#This Row],[TotalRevenue]])="",AB390,PROPER(TRIM(sales_dataset[[#This Row],[TotalRevenue]])))</f>
        <v>6000</v>
      </c>
      <c r="AD388" s="1">
        <f>ABS(sales_dataset[[#This Row],[Column5]])</f>
        <v>6000</v>
      </c>
      <c r="AE388" s="1">
        <f>sales_dataset[[#This Row],[Column17]]*sales_dataset[[#This Row],[Column16]]</f>
        <v>0</v>
      </c>
    </row>
    <row r="389" spans="3:31" x14ac:dyDescent="0.3">
      <c r="C389" s="1" t="s">
        <v>43</v>
      </c>
      <c r="F389" s="1" t="s">
        <v>53</v>
      </c>
      <c r="H389" s="1" t="s">
        <v>19</v>
      </c>
      <c r="J389" s="1" t="s">
        <v>46</v>
      </c>
      <c r="K389" s="1" t="str">
        <f>IF(TRIM(sales_dataset[[#This Row],[Region]])="", J391, PROPER(TRIM(sales_dataset[[#This Row],[Region]])))</f>
        <v>North</v>
      </c>
      <c r="N389" s="1" t="s">
        <v>21</v>
      </c>
      <c r="Q389" s="1" t="s">
        <v>41</v>
      </c>
      <c r="R389" s="1" t="str">
        <f>IF(TRIM(sales_dataset[[#This Row],[ProductCategory]])="", R407, PROPER(TRIM(sales_dataset[[#This Row],[ProductCategory]])))</f>
        <v>Home</v>
      </c>
      <c r="T389" s="1" t="s">
        <v>19</v>
      </c>
      <c r="V389">
        <v>1</v>
      </c>
      <c r="W389" t="str">
        <f>IF(TRIM(sales_dataset[[#This Row],[Quantity]])="",V395,PROPER(TRIM(sales_dataset[[#This Row],[Quantity]])))</f>
        <v>1</v>
      </c>
      <c r="Z389">
        <f>IF(TRIM(sales_dataset[[#This Row],[UnitPrice]])="",Y391,PROPER(TRIM(sales_dataset[[#This Row],[UnitPrice]])))</f>
        <v>1500</v>
      </c>
      <c r="AC389" s="1">
        <f>IF(TRIM(sales_dataset[[#This Row],[TotalRevenue]])="",AB391,PROPER(TRIM(sales_dataset[[#This Row],[TotalRevenue]])))</f>
        <v>0</v>
      </c>
      <c r="AD389" s="1">
        <f>ABS(sales_dataset[[#This Row],[Column5]])</f>
        <v>0</v>
      </c>
      <c r="AE389" s="1">
        <f>sales_dataset[[#This Row],[Column17]]*sales_dataset[[#This Row],[Column16]]</f>
        <v>0</v>
      </c>
    </row>
    <row r="390" spans="3:31" x14ac:dyDescent="0.3">
      <c r="C390" s="1" t="s">
        <v>51</v>
      </c>
      <c r="F390" s="1" t="s">
        <v>53</v>
      </c>
      <c r="H390" s="1" t="s">
        <v>54</v>
      </c>
      <c r="J390" s="1" t="s">
        <v>80</v>
      </c>
      <c r="K390" s="1" t="str">
        <f>IF(TRIM(sales_dataset[[#This Row],[Region]])="", J392, PROPER(TRIM(sales_dataset[[#This Row],[Region]])))</f>
        <v>East</v>
      </c>
      <c r="N390" s="1" t="s">
        <v>39</v>
      </c>
      <c r="Q390" s="1" t="s">
        <v>19</v>
      </c>
      <c r="R390" s="1" t="str">
        <f>IF(TRIM(sales_dataset[[#This Row],[ProductCategory]])="", R408, PROPER(TRIM(sales_dataset[[#This Row],[ProductCategory]])))</f>
        <v>Electronics</v>
      </c>
      <c r="T390" s="1" t="s">
        <v>19</v>
      </c>
      <c r="V390">
        <v>4</v>
      </c>
      <c r="W390" t="str">
        <f>IF(TRIM(sales_dataset[[#This Row],[Quantity]])="",V396,PROPER(TRIM(sales_dataset[[#This Row],[Quantity]])))</f>
        <v>4</v>
      </c>
      <c r="Y390">
        <v>500</v>
      </c>
      <c r="Z390" t="str">
        <f>IF(TRIM(sales_dataset[[#This Row],[UnitPrice]])="",Y392,PROPER(TRIM(sales_dataset[[#This Row],[UnitPrice]])))</f>
        <v>500</v>
      </c>
      <c r="AB390">
        <v>2000</v>
      </c>
      <c r="AC390" s="1" t="str">
        <f>IF(TRIM(sales_dataset[[#This Row],[TotalRevenue]])="",AB392,PROPER(TRIM(sales_dataset[[#This Row],[TotalRevenue]])))</f>
        <v>2000</v>
      </c>
      <c r="AD390" s="1">
        <f>ABS(sales_dataset[[#This Row],[Column5]])</f>
        <v>2000</v>
      </c>
      <c r="AE390" s="1">
        <f>sales_dataset[[#This Row],[Column17]]*sales_dataset[[#This Row],[Column16]]</f>
        <v>0</v>
      </c>
    </row>
    <row r="391" spans="3:31" x14ac:dyDescent="0.3">
      <c r="C391" s="1" t="s">
        <v>19</v>
      </c>
      <c r="F391" s="1" t="s">
        <v>18</v>
      </c>
      <c r="H391" s="1" t="s">
        <v>45</v>
      </c>
      <c r="J391" s="1" t="s">
        <v>66</v>
      </c>
      <c r="K391" s="1" t="str">
        <f>IF(TRIM(sales_dataset[[#This Row],[Region]])="", J393, PROPER(TRIM(sales_dataset[[#This Row],[Region]])))</f>
        <v>West</v>
      </c>
      <c r="N391" s="1" t="s">
        <v>56</v>
      </c>
      <c r="Q391" s="1" t="s">
        <v>19</v>
      </c>
      <c r="R391" s="1" t="str">
        <f>IF(TRIM(sales_dataset[[#This Row],[ProductCategory]])="", R409, PROPER(TRIM(sales_dataset[[#This Row],[ProductCategory]])))</f>
        <v>Electronics</v>
      </c>
      <c r="T391" s="1" t="s">
        <v>33</v>
      </c>
      <c r="W391">
        <f>IF(TRIM(sales_dataset[[#This Row],[Quantity]])="",V397,PROPER(TRIM(sales_dataset[[#This Row],[Quantity]])))</f>
        <v>1</v>
      </c>
      <c r="Y391">
        <v>1500</v>
      </c>
      <c r="Z391" t="str">
        <f>IF(TRIM(sales_dataset[[#This Row],[UnitPrice]])="",Y393,PROPER(TRIM(sales_dataset[[#This Row],[UnitPrice]])))</f>
        <v>1500</v>
      </c>
      <c r="AC391" s="1">
        <f>IF(TRIM(sales_dataset[[#This Row],[TotalRevenue]])="",AB393,PROPER(TRIM(sales_dataset[[#This Row],[TotalRevenue]])))</f>
        <v>2500</v>
      </c>
      <c r="AD391" s="1">
        <f>ABS(sales_dataset[[#This Row],[Column5]])</f>
        <v>2500</v>
      </c>
      <c r="AE391" s="1">
        <f>sales_dataset[[#This Row],[Column17]]*sales_dataset[[#This Row],[Column16]]</f>
        <v>0</v>
      </c>
    </row>
    <row r="392" spans="3:31" x14ac:dyDescent="0.3">
      <c r="C392" s="1" t="s">
        <v>16</v>
      </c>
      <c r="F392" s="1" t="s">
        <v>118</v>
      </c>
      <c r="H392" s="1" t="s">
        <v>73</v>
      </c>
      <c r="J392" s="1" t="s">
        <v>19</v>
      </c>
      <c r="K392" s="1" t="str">
        <f>IF(TRIM(sales_dataset[[#This Row],[Region]])="", J394, PROPER(TRIM(sales_dataset[[#This Row],[Region]])))</f>
        <v>West</v>
      </c>
      <c r="N392" s="1" t="s">
        <v>19</v>
      </c>
      <c r="Q392" s="1" t="s">
        <v>63</v>
      </c>
      <c r="R392" s="1" t="str">
        <f>IF(TRIM(sales_dataset[[#This Row],[ProductCategory]])="", R410, PROPER(TRIM(sales_dataset[[#This Row],[ProductCategory]])))</f>
        <v>Clothing</v>
      </c>
      <c r="T392" s="1" t="s">
        <v>95</v>
      </c>
      <c r="W392">
        <f>IF(TRIM(sales_dataset[[#This Row],[Quantity]])="",V398,PROPER(TRIM(sales_dataset[[#This Row],[Quantity]])))</f>
        <v>5</v>
      </c>
      <c r="Y392">
        <v>2000</v>
      </c>
      <c r="Z392" t="str">
        <f>IF(TRIM(sales_dataset[[#This Row],[UnitPrice]])="",Y394,PROPER(TRIM(sales_dataset[[#This Row],[UnitPrice]])))</f>
        <v>2000</v>
      </c>
      <c r="AC392" s="1">
        <f>IF(TRIM(sales_dataset[[#This Row],[TotalRevenue]])="",AB394,PROPER(TRIM(sales_dataset[[#This Row],[TotalRevenue]])))</f>
        <v>2500</v>
      </c>
      <c r="AD392" s="1">
        <f>ABS(sales_dataset[[#This Row],[Column5]])</f>
        <v>2500</v>
      </c>
      <c r="AE392" s="1">
        <f>sales_dataset[[#This Row],[Column17]]*sales_dataset[[#This Row],[Column16]]</f>
        <v>0</v>
      </c>
    </row>
    <row r="393" spans="3:31" x14ac:dyDescent="0.3">
      <c r="C393" s="1" t="s">
        <v>25</v>
      </c>
      <c r="F393" s="1" t="s">
        <v>27</v>
      </c>
      <c r="H393" s="1" t="s">
        <v>54</v>
      </c>
      <c r="J393" s="1" t="s">
        <v>19</v>
      </c>
      <c r="K393" s="1" t="str">
        <f>IF(TRIM(sales_dataset[[#This Row],[Region]])="", J395, PROPER(TRIM(sales_dataset[[#This Row],[Region]])))</f>
        <v>NORTH</v>
      </c>
      <c r="N393" s="1" t="s">
        <v>19</v>
      </c>
      <c r="Q393" s="1" t="s">
        <v>19</v>
      </c>
      <c r="R393" s="1" t="str">
        <f>IF(TRIM(sales_dataset[[#This Row],[ProductCategory]])="", R411, PROPER(TRIM(sales_dataset[[#This Row],[ProductCategory]])))</f>
        <v>Electronics</v>
      </c>
      <c r="T393" s="1" t="s">
        <v>87</v>
      </c>
      <c r="V393">
        <v>1</v>
      </c>
      <c r="W393" t="str">
        <f>IF(TRIM(sales_dataset[[#This Row],[Quantity]])="",V399,PROPER(TRIM(sales_dataset[[#This Row],[Quantity]])))</f>
        <v>1</v>
      </c>
      <c r="Y393">
        <v>2500</v>
      </c>
      <c r="Z393" t="str">
        <f>IF(TRIM(sales_dataset[[#This Row],[UnitPrice]])="",Y395,PROPER(TRIM(sales_dataset[[#This Row],[UnitPrice]])))</f>
        <v>2500</v>
      </c>
      <c r="AB393">
        <v>2500</v>
      </c>
      <c r="AC393" s="1" t="str">
        <f>IF(TRIM(sales_dataset[[#This Row],[TotalRevenue]])="",AB395,PROPER(TRIM(sales_dataset[[#This Row],[TotalRevenue]])))</f>
        <v>2500</v>
      </c>
      <c r="AD393" s="1">
        <f>ABS(sales_dataset[[#This Row],[Column5]])</f>
        <v>2500</v>
      </c>
      <c r="AE393" s="1">
        <f>sales_dataset[[#This Row],[Column17]]*sales_dataset[[#This Row],[Column16]]</f>
        <v>0</v>
      </c>
    </row>
    <row r="394" spans="3:31" x14ac:dyDescent="0.3">
      <c r="C394" s="1" t="s">
        <v>35</v>
      </c>
      <c r="F394" s="1" t="s">
        <v>19</v>
      </c>
      <c r="H394" s="1" t="s">
        <v>45</v>
      </c>
      <c r="J394" s="1" t="s">
        <v>66</v>
      </c>
      <c r="K394" s="1" t="str">
        <f>IF(TRIM(sales_dataset[[#This Row],[Region]])="", J396, PROPER(TRIM(sales_dataset[[#This Row],[Region]])))</f>
        <v>West</v>
      </c>
      <c r="N394" s="1" t="s">
        <v>39</v>
      </c>
      <c r="Q394" s="1" t="s">
        <v>63</v>
      </c>
      <c r="R394" s="1" t="str">
        <f>IF(TRIM(sales_dataset[[#This Row],[ProductCategory]])="", R412, PROPER(TRIM(sales_dataset[[#This Row],[ProductCategory]])))</f>
        <v>Clothing</v>
      </c>
      <c r="T394" s="1" t="s">
        <v>95</v>
      </c>
      <c r="V394">
        <v>1</v>
      </c>
      <c r="W394" t="str">
        <f>IF(TRIM(sales_dataset[[#This Row],[Quantity]])="",V400,PROPER(TRIM(sales_dataset[[#This Row],[Quantity]])))</f>
        <v>1</v>
      </c>
      <c r="Y394">
        <v>2500</v>
      </c>
      <c r="Z394" t="str">
        <f>IF(TRIM(sales_dataset[[#This Row],[UnitPrice]])="",Y396,PROPER(TRIM(sales_dataset[[#This Row],[UnitPrice]])))</f>
        <v>2500</v>
      </c>
      <c r="AB394">
        <v>2500</v>
      </c>
      <c r="AC394" s="1" t="str">
        <f>IF(TRIM(sales_dataset[[#This Row],[TotalRevenue]])="",AB396,PROPER(TRIM(sales_dataset[[#This Row],[TotalRevenue]])))</f>
        <v>2500</v>
      </c>
      <c r="AD394" s="1">
        <f>ABS(sales_dataset[[#This Row],[Column5]])</f>
        <v>2500</v>
      </c>
      <c r="AE394" s="1">
        <f>sales_dataset[[#This Row],[Column17]]*sales_dataset[[#This Row],[Column16]]</f>
        <v>0</v>
      </c>
    </row>
    <row r="395" spans="3:31" x14ac:dyDescent="0.3">
      <c r="C395" s="1" t="s">
        <v>43</v>
      </c>
      <c r="F395" s="1" t="s">
        <v>53</v>
      </c>
      <c r="H395" s="1" t="s">
        <v>73</v>
      </c>
      <c r="J395" s="1" t="s">
        <v>37</v>
      </c>
      <c r="K395" s="1" t="str">
        <f>IF(TRIM(sales_dataset[[#This Row],[Region]])="", J397, PROPER(TRIM(sales_dataset[[#This Row],[Region]])))</f>
        <v>North</v>
      </c>
      <c r="N395" s="1" t="s">
        <v>19</v>
      </c>
      <c r="Q395" s="1" t="s">
        <v>32</v>
      </c>
      <c r="R395" s="1" t="str">
        <f>IF(TRIM(sales_dataset[[#This Row],[ProductCategory]])="", R413, PROPER(TRIM(sales_dataset[[#This Row],[ProductCategory]])))</f>
        <v>Electronics</v>
      </c>
      <c r="T395" s="1" t="s">
        <v>95</v>
      </c>
      <c r="V395">
        <v>4</v>
      </c>
      <c r="W395" t="str">
        <f>IF(TRIM(sales_dataset[[#This Row],[Quantity]])="",V401,PROPER(TRIM(sales_dataset[[#This Row],[Quantity]])))</f>
        <v>4</v>
      </c>
      <c r="Y395">
        <v>2000</v>
      </c>
      <c r="Z395" t="str">
        <f>IF(TRIM(sales_dataset[[#This Row],[UnitPrice]])="",Y397,PROPER(TRIM(sales_dataset[[#This Row],[UnitPrice]])))</f>
        <v>2000</v>
      </c>
      <c r="AB395">
        <v>8000</v>
      </c>
      <c r="AC395" s="1" t="str">
        <f>IF(TRIM(sales_dataset[[#This Row],[TotalRevenue]])="",AB397,PROPER(TRIM(sales_dataset[[#This Row],[TotalRevenue]])))</f>
        <v>8000</v>
      </c>
      <c r="AD395" s="1">
        <f>ABS(sales_dataset[[#This Row],[Column5]])</f>
        <v>8000</v>
      </c>
      <c r="AE395" s="1">
        <f>sales_dataset[[#This Row],[Column17]]*sales_dataset[[#This Row],[Column16]]</f>
        <v>0</v>
      </c>
    </row>
    <row r="396" spans="3:31" x14ac:dyDescent="0.3">
      <c r="C396" s="1" t="s">
        <v>51</v>
      </c>
      <c r="F396" s="1" t="s">
        <v>18</v>
      </c>
      <c r="H396" s="1" t="s">
        <v>54</v>
      </c>
      <c r="J396" s="1" t="s">
        <v>66</v>
      </c>
      <c r="K396" s="1" t="str">
        <f>IF(TRIM(sales_dataset[[#This Row],[Region]])="", J398, PROPER(TRIM(sales_dataset[[#This Row],[Region]])))</f>
        <v>West</v>
      </c>
      <c r="N396" s="1" t="s">
        <v>56</v>
      </c>
      <c r="Q396" s="1" t="s">
        <v>19</v>
      </c>
      <c r="R396" s="1" t="str">
        <f>IF(TRIM(sales_dataset[[#This Row],[ProductCategory]])="", R414, PROPER(TRIM(sales_dataset[[#This Row],[ProductCategory]])))</f>
        <v>Home</v>
      </c>
      <c r="T396" s="1" t="s">
        <v>33</v>
      </c>
      <c r="V396">
        <v>4</v>
      </c>
      <c r="W396" t="str">
        <f>IF(TRIM(sales_dataset[[#This Row],[Quantity]])="",V402,PROPER(TRIM(sales_dataset[[#This Row],[Quantity]])))</f>
        <v>4</v>
      </c>
      <c r="Z396">
        <f>IF(TRIM(sales_dataset[[#This Row],[UnitPrice]])="",Y398,PROPER(TRIM(sales_dataset[[#This Row],[UnitPrice]])))</f>
        <v>2000</v>
      </c>
      <c r="AC396" s="1">
        <f>IF(TRIM(sales_dataset[[#This Row],[TotalRevenue]])="",AB398,PROPER(TRIM(sales_dataset[[#This Row],[TotalRevenue]])))</f>
        <v>10000</v>
      </c>
      <c r="AD396" s="1">
        <f>ABS(sales_dataset[[#This Row],[Column5]])</f>
        <v>10000</v>
      </c>
      <c r="AE396" s="1">
        <f>sales_dataset[[#This Row],[Column17]]*sales_dataset[[#This Row],[Column16]]</f>
        <v>0</v>
      </c>
    </row>
    <row r="397" spans="3:31" x14ac:dyDescent="0.3">
      <c r="C397" s="1" t="s">
        <v>19</v>
      </c>
      <c r="F397" s="1" t="s">
        <v>60</v>
      </c>
      <c r="H397" s="1" t="s">
        <v>147</v>
      </c>
      <c r="J397" s="1" t="s">
        <v>66</v>
      </c>
      <c r="K397" s="1" t="str">
        <f>IF(TRIM(sales_dataset[[#This Row],[Region]])="", J399, PROPER(TRIM(sales_dataset[[#This Row],[Region]])))</f>
        <v>West</v>
      </c>
      <c r="N397" s="1" t="s">
        <v>21</v>
      </c>
      <c r="Q397" s="1" t="s">
        <v>41</v>
      </c>
      <c r="R397" s="1" t="str">
        <f>IF(TRIM(sales_dataset[[#This Row],[ProductCategory]])="", R415, PROPER(TRIM(sales_dataset[[#This Row],[ProductCategory]])))</f>
        <v>Home</v>
      </c>
      <c r="T397" s="1" t="s">
        <v>33</v>
      </c>
      <c r="V397">
        <v>1</v>
      </c>
      <c r="W397" t="str">
        <f>IF(TRIM(sales_dataset[[#This Row],[Quantity]])="",V403,PROPER(TRIM(sales_dataset[[#This Row],[Quantity]])))</f>
        <v>1</v>
      </c>
      <c r="Y397">
        <v>-100</v>
      </c>
      <c r="Z397" t="str">
        <f>IF(TRIM(sales_dataset[[#This Row],[UnitPrice]])="",Y399,PROPER(TRIM(sales_dataset[[#This Row],[UnitPrice]])))</f>
        <v>-100</v>
      </c>
      <c r="AB397">
        <v>-100</v>
      </c>
      <c r="AC397" s="1" t="str">
        <f>IF(TRIM(sales_dataset[[#This Row],[TotalRevenue]])="",AB399,PROPER(TRIM(sales_dataset[[#This Row],[TotalRevenue]])))</f>
        <v>-100</v>
      </c>
      <c r="AD397" s="1">
        <f>ABS(sales_dataset[[#This Row],[Column5]])</f>
        <v>100</v>
      </c>
      <c r="AE397" s="1">
        <f>sales_dataset[[#This Row],[Column17]]*sales_dataset[[#This Row],[Column16]]</f>
        <v>0</v>
      </c>
    </row>
    <row r="398" spans="3:31" x14ac:dyDescent="0.3">
      <c r="C398" s="1" t="s">
        <v>16</v>
      </c>
      <c r="F398" s="1" t="s">
        <v>53</v>
      </c>
      <c r="H398" s="1" t="s">
        <v>147</v>
      </c>
      <c r="J398" s="1" t="s">
        <v>37</v>
      </c>
      <c r="K398" s="1" t="str">
        <f>IF(TRIM(sales_dataset[[#This Row],[Region]])="", J400, PROPER(TRIM(sales_dataset[[#This Row],[Region]])))</f>
        <v>North</v>
      </c>
      <c r="N398" s="1" t="s">
        <v>21</v>
      </c>
      <c r="Q398" s="1" t="s">
        <v>63</v>
      </c>
      <c r="R398" s="1" t="str">
        <f>IF(TRIM(sales_dataset[[#This Row],[ProductCategory]])="", R416, PROPER(TRIM(sales_dataset[[#This Row],[ProductCategory]])))</f>
        <v>Clothing</v>
      </c>
      <c r="T398" s="1" t="s">
        <v>87</v>
      </c>
      <c r="V398">
        <v>5</v>
      </c>
      <c r="W398" t="str">
        <f>IF(TRIM(sales_dataset[[#This Row],[Quantity]])="",V404,PROPER(TRIM(sales_dataset[[#This Row],[Quantity]])))</f>
        <v>5</v>
      </c>
      <c r="Y398">
        <v>2000</v>
      </c>
      <c r="Z398" t="str">
        <f>IF(TRIM(sales_dataset[[#This Row],[UnitPrice]])="",Y400,PROPER(TRIM(sales_dataset[[#This Row],[UnitPrice]])))</f>
        <v>2000</v>
      </c>
      <c r="AB398">
        <v>10000</v>
      </c>
      <c r="AC398" s="1" t="str">
        <f>IF(TRIM(sales_dataset[[#This Row],[TotalRevenue]])="",AB400,PROPER(TRIM(sales_dataset[[#This Row],[TotalRevenue]])))</f>
        <v>10000</v>
      </c>
      <c r="AD398" s="1">
        <f>ABS(sales_dataset[[#This Row],[Column5]])</f>
        <v>10000</v>
      </c>
      <c r="AE398" s="1">
        <f>sales_dataset[[#This Row],[Column17]]*sales_dataset[[#This Row],[Column16]]</f>
        <v>0</v>
      </c>
    </row>
    <row r="399" spans="3:31" x14ac:dyDescent="0.3">
      <c r="C399" s="1" t="s">
        <v>25</v>
      </c>
      <c r="F399" s="1" t="s">
        <v>72</v>
      </c>
      <c r="H399" s="1" t="s">
        <v>73</v>
      </c>
      <c r="J399" s="1" t="s">
        <v>46</v>
      </c>
      <c r="K399" s="1" t="str">
        <f>IF(TRIM(sales_dataset[[#This Row],[Region]])="", J401, PROPER(TRIM(sales_dataset[[#This Row],[Region]])))</f>
        <v>North</v>
      </c>
      <c r="N399" s="1" t="s">
        <v>30</v>
      </c>
      <c r="Q399" s="1" t="s">
        <v>32</v>
      </c>
      <c r="R399" s="1" t="str">
        <f>IF(TRIM(sales_dataset[[#This Row],[ProductCategory]])="", R417, PROPER(TRIM(sales_dataset[[#This Row],[ProductCategory]])))</f>
        <v>Electronics</v>
      </c>
      <c r="T399" s="1" t="s">
        <v>23</v>
      </c>
      <c r="V399">
        <v>5</v>
      </c>
      <c r="W399" t="str">
        <f>IF(TRIM(sales_dataset[[#This Row],[Quantity]])="",V405,PROPER(TRIM(sales_dataset[[#This Row],[Quantity]])))</f>
        <v>5</v>
      </c>
      <c r="Y399">
        <v>-100</v>
      </c>
      <c r="Z399" t="str">
        <f>IF(TRIM(sales_dataset[[#This Row],[UnitPrice]])="",Y401,PROPER(TRIM(sales_dataset[[#This Row],[UnitPrice]])))</f>
        <v>-100</v>
      </c>
      <c r="AB399">
        <v>-500</v>
      </c>
      <c r="AC399" s="1" t="str">
        <f>IF(TRIM(sales_dataset[[#This Row],[TotalRevenue]])="",AB401,PROPER(TRIM(sales_dataset[[#This Row],[TotalRevenue]])))</f>
        <v>-500</v>
      </c>
      <c r="AD399" s="1">
        <f>ABS(sales_dataset[[#This Row],[Column5]])</f>
        <v>500</v>
      </c>
      <c r="AE399" s="1">
        <f>sales_dataset[[#This Row],[Column17]]*sales_dataset[[#This Row],[Column16]]</f>
        <v>0</v>
      </c>
    </row>
    <row r="400" spans="3:31" x14ac:dyDescent="0.3">
      <c r="C400" s="1" t="s">
        <v>35</v>
      </c>
      <c r="F400" s="1" t="s">
        <v>27</v>
      </c>
      <c r="H400" s="1" t="s">
        <v>73</v>
      </c>
      <c r="J400" s="1" t="s">
        <v>98</v>
      </c>
      <c r="K400" s="1" t="str">
        <f>IF(TRIM(sales_dataset[[#This Row],[Region]])="", J402, PROPER(TRIM(sales_dataset[[#This Row],[Region]])))</f>
        <v>South</v>
      </c>
      <c r="N400" s="1" t="s">
        <v>30</v>
      </c>
      <c r="Q400" s="1" t="s">
        <v>82</v>
      </c>
      <c r="R400" s="1" t="str">
        <f>IF(TRIM(sales_dataset[[#This Row],[ProductCategory]])="", R418, PROPER(TRIM(sales_dataset[[#This Row],[ProductCategory]])))</f>
        <v>Electronics</v>
      </c>
      <c r="T400" s="1" t="s">
        <v>76</v>
      </c>
      <c r="V400">
        <v>1</v>
      </c>
      <c r="W400" t="str">
        <f>IF(TRIM(sales_dataset[[#This Row],[Quantity]])="",V406,PROPER(TRIM(sales_dataset[[#This Row],[Quantity]])))</f>
        <v>1</v>
      </c>
      <c r="Z400">
        <f>IF(TRIM(sales_dataset[[#This Row],[UnitPrice]])="",Y402,PROPER(TRIM(sales_dataset[[#This Row],[UnitPrice]])))</f>
        <v>0</v>
      </c>
      <c r="AC400" s="1">
        <f>IF(TRIM(sales_dataset[[#This Row],[TotalRevenue]])="",AB402,PROPER(TRIM(sales_dataset[[#This Row],[TotalRevenue]])))</f>
        <v>0</v>
      </c>
      <c r="AD400" s="1">
        <f>ABS(sales_dataset[[#This Row],[Column5]])</f>
        <v>0</v>
      </c>
      <c r="AE400" s="1">
        <f>sales_dataset[[#This Row],[Column17]]*sales_dataset[[#This Row],[Column16]]</f>
        <v>0</v>
      </c>
    </row>
    <row r="401" spans="3:31" x14ac:dyDescent="0.3">
      <c r="C401" s="1" t="s">
        <v>43</v>
      </c>
      <c r="F401" s="1" t="s">
        <v>60</v>
      </c>
      <c r="H401" s="1" t="s">
        <v>54</v>
      </c>
      <c r="J401" s="1" t="s">
        <v>80</v>
      </c>
      <c r="K401" s="1" t="str">
        <f>IF(TRIM(sales_dataset[[#This Row],[Region]])="", J403, PROPER(TRIM(sales_dataset[[#This Row],[Region]])))</f>
        <v>East</v>
      </c>
      <c r="N401" s="1" t="s">
        <v>30</v>
      </c>
      <c r="Q401" s="1" t="s">
        <v>82</v>
      </c>
      <c r="R401" s="1" t="str">
        <f>IF(TRIM(sales_dataset[[#This Row],[ProductCategory]])="", R419, PROPER(TRIM(sales_dataset[[#This Row],[ProductCategory]])))</f>
        <v>Electronics</v>
      </c>
      <c r="T401" s="1" t="s">
        <v>23</v>
      </c>
      <c r="V401">
        <v>-1</v>
      </c>
      <c r="W401" t="str">
        <f>IF(TRIM(sales_dataset[[#This Row],[Quantity]])="",V407,PROPER(TRIM(sales_dataset[[#This Row],[Quantity]])))</f>
        <v>-1</v>
      </c>
      <c r="Y401">
        <v>1500</v>
      </c>
      <c r="Z401" t="str">
        <f>IF(TRIM(sales_dataset[[#This Row],[UnitPrice]])="",Y403,PROPER(TRIM(sales_dataset[[#This Row],[UnitPrice]])))</f>
        <v>1500</v>
      </c>
      <c r="AB401">
        <v>-1500</v>
      </c>
      <c r="AC401" s="1" t="str">
        <f>IF(TRIM(sales_dataset[[#This Row],[TotalRevenue]])="",AB403,PROPER(TRIM(sales_dataset[[#This Row],[TotalRevenue]])))</f>
        <v>-1500</v>
      </c>
      <c r="AD401" s="1">
        <f>ABS(sales_dataset[[#This Row],[Column5]])</f>
        <v>1500</v>
      </c>
      <c r="AE401" s="1">
        <f>sales_dataset[[#This Row],[Column17]]*sales_dataset[[#This Row],[Column16]]</f>
        <v>0</v>
      </c>
    </row>
    <row r="402" spans="3:31" x14ac:dyDescent="0.3">
      <c r="C402" s="1" t="s">
        <v>51</v>
      </c>
      <c r="F402" s="1" t="s">
        <v>118</v>
      </c>
      <c r="H402" s="1" t="s">
        <v>19</v>
      </c>
      <c r="J402" s="1" t="s">
        <v>19</v>
      </c>
      <c r="K402" s="1" t="str">
        <f>IF(TRIM(sales_dataset[[#This Row],[Region]])="", J404, PROPER(TRIM(sales_dataset[[#This Row],[Region]])))</f>
        <v>West</v>
      </c>
      <c r="N402" s="1" t="s">
        <v>21</v>
      </c>
      <c r="Q402" s="1" t="s">
        <v>82</v>
      </c>
      <c r="R402" s="1" t="str">
        <f>IF(TRIM(sales_dataset[[#This Row],[ProductCategory]])="", R420, PROPER(TRIM(sales_dataset[[#This Row],[ProductCategory]])))</f>
        <v>Electronics</v>
      </c>
      <c r="T402" s="1" t="s">
        <v>33</v>
      </c>
      <c r="V402">
        <v>1</v>
      </c>
      <c r="W402" t="str">
        <f>IF(TRIM(sales_dataset[[#This Row],[Quantity]])="",V408,PROPER(TRIM(sales_dataset[[#This Row],[Quantity]])))</f>
        <v>1</v>
      </c>
      <c r="Z402">
        <f>IF(TRIM(sales_dataset[[#This Row],[UnitPrice]])="",Y404,PROPER(TRIM(sales_dataset[[#This Row],[UnitPrice]])))</f>
        <v>2000</v>
      </c>
      <c r="AC402" s="1">
        <f>IF(TRIM(sales_dataset[[#This Row],[TotalRevenue]])="",AB404,PROPER(TRIM(sales_dataset[[#This Row],[TotalRevenue]])))</f>
        <v>10000</v>
      </c>
      <c r="AD402" s="1">
        <f>ABS(sales_dataset[[#This Row],[Column5]])</f>
        <v>10000</v>
      </c>
      <c r="AE402" s="1">
        <f>sales_dataset[[#This Row],[Column17]]*sales_dataset[[#This Row],[Column16]]</f>
        <v>0</v>
      </c>
    </row>
    <row r="403" spans="3:31" x14ac:dyDescent="0.3">
      <c r="C403" s="1" t="s">
        <v>19</v>
      </c>
      <c r="F403" s="1" t="s">
        <v>118</v>
      </c>
      <c r="H403" s="1" t="s">
        <v>54</v>
      </c>
      <c r="J403" s="1" t="s">
        <v>46</v>
      </c>
      <c r="K403" s="1" t="str">
        <f>IF(TRIM(sales_dataset[[#This Row],[Region]])="", J405, PROPER(TRIM(sales_dataset[[#This Row],[Region]])))</f>
        <v>North</v>
      </c>
      <c r="N403" s="1" t="s">
        <v>56</v>
      </c>
      <c r="Q403" s="1" t="s">
        <v>63</v>
      </c>
      <c r="R403" s="1" t="str">
        <f>IF(TRIM(sales_dataset[[#This Row],[ProductCategory]])="", R421, PROPER(TRIM(sales_dataset[[#This Row],[ProductCategory]])))</f>
        <v>Clothing</v>
      </c>
      <c r="T403" s="1" t="s">
        <v>33</v>
      </c>
      <c r="V403">
        <v>-1</v>
      </c>
      <c r="W403" t="str">
        <f>IF(TRIM(sales_dataset[[#This Row],[Quantity]])="",V409,PROPER(TRIM(sales_dataset[[#This Row],[Quantity]])))</f>
        <v>-1</v>
      </c>
      <c r="Z403">
        <f>IF(TRIM(sales_dataset[[#This Row],[UnitPrice]])="",Y405,PROPER(TRIM(sales_dataset[[#This Row],[UnitPrice]])))</f>
        <v>2000</v>
      </c>
      <c r="AC403" s="1">
        <f>IF(TRIM(sales_dataset[[#This Row],[TotalRevenue]])="",AB405,PROPER(TRIM(sales_dataset[[#This Row],[TotalRevenue]])))</f>
        <v>10000</v>
      </c>
      <c r="AD403" s="1">
        <f>ABS(sales_dataset[[#This Row],[Column5]])</f>
        <v>10000</v>
      </c>
      <c r="AE403" s="1">
        <f>sales_dataset[[#This Row],[Column17]]*sales_dataset[[#This Row],[Column16]]</f>
        <v>0</v>
      </c>
    </row>
    <row r="404" spans="3:31" x14ac:dyDescent="0.3">
      <c r="C404" s="1" t="s">
        <v>16</v>
      </c>
      <c r="F404" s="1" t="s">
        <v>18</v>
      </c>
      <c r="H404" s="1" t="s">
        <v>73</v>
      </c>
      <c r="J404" s="1" t="s">
        <v>66</v>
      </c>
      <c r="K404" s="1" t="str">
        <f>IF(TRIM(sales_dataset[[#This Row],[Region]])="", J406, PROPER(TRIM(sales_dataset[[#This Row],[Region]])))</f>
        <v>West</v>
      </c>
      <c r="N404" s="1" t="s">
        <v>21</v>
      </c>
      <c r="Q404" s="1" t="s">
        <v>19</v>
      </c>
      <c r="R404" s="1" t="str">
        <f>IF(TRIM(sales_dataset[[#This Row],[ProductCategory]])="", R422, PROPER(TRIM(sales_dataset[[#This Row],[ProductCategory]])))</f>
        <v>Electronics</v>
      </c>
      <c r="T404" s="1" t="s">
        <v>87</v>
      </c>
      <c r="V404">
        <v>5</v>
      </c>
      <c r="W404" t="str">
        <f>IF(TRIM(sales_dataset[[#This Row],[Quantity]])="",V410,PROPER(TRIM(sales_dataset[[#This Row],[Quantity]])))</f>
        <v>5</v>
      </c>
      <c r="Y404">
        <v>2000</v>
      </c>
      <c r="Z404" t="str">
        <f>IF(TRIM(sales_dataset[[#This Row],[UnitPrice]])="",Y406,PROPER(TRIM(sales_dataset[[#This Row],[UnitPrice]])))</f>
        <v>2000</v>
      </c>
      <c r="AB404">
        <v>10000</v>
      </c>
      <c r="AC404" s="1" t="str">
        <f>IF(TRIM(sales_dataset[[#This Row],[TotalRevenue]])="",AB406,PROPER(TRIM(sales_dataset[[#This Row],[TotalRevenue]])))</f>
        <v>10000</v>
      </c>
      <c r="AD404" s="1">
        <f>ABS(sales_dataset[[#This Row],[Column5]])</f>
        <v>10000</v>
      </c>
      <c r="AE404" s="1">
        <f>sales_dataset[[#This Row],[Column17]]*sales_dataset[[#This Row],[Column16]]</f>
        <v>0</v>
      </c>
    </row>
    <row r="405" spans="3:31" x14ac:dyDescent="0.3">
      <c r="C405" s="1" t="s">
        <v>25</v>
      </c>
      <c r="F405" s="1" t="s">
        <v>118</v>
      </c>
      <c r="H405" s="1" t="s">
        <v>79</v>
      </c>
      <c r="J405" s="1" t="s">
        <v>66</v>
      </c>
      <c r="K405" s="1" t="str">
        <f>IF(TRIM(sales_dataset[[#This Row],[Region]])="", J407, PROPER(TRIM(sales_dataset[[#This Row],[Region]])))</f>
        <v>West</v>
      </c>
      <c r="N405" s="1" t="s">
        <v>21</v>
      </c>
      <c r="Q405" s="1" t="s">
        <v>63</v>
      </c>
      <c r="R405" s="1" t="str">
        <f>IF(TRIM(sales_dataset[[#This Row],[ProductCategory]])="", R423, PROPER(TRIM(sales_dataset[[#This Row],[ProductCategory]])))</f>
        <v>Clothing</v>
      </c>
      <c r="T405" s="1" t="s">
        <v>33</v>
      </c>
      <c r="V405">
        <v>5</v>
      </c>
      <c r="W405" t="str">
        <f>IF(TRIM(sales_dataset[[#This Row],[Quantity]])="",V411,PROPER(TRIM(sales_dataset[[#This Row],[Quantity]])))</f>
        <v>5</v>
      </c>
      <c r="Y405">
        <v>2000</v>
      </c>
      <c r="Z405" t="str">
        <f>IF(TRIM(sales_dataset[[#This Row],[UnitPrice]])="",Y407,PROPER(TRIM(sales_dataset[[#This Row],[UnitPrice]])))</f>
        <v>2000</v>
      </c>
      <c r="AB405">
        <v>10000</v>
      </c>
      <c r="AC405" s="1" t="str">
        <f>IF(TRIM(sales_dataset[[#This Row],[TotalRevenue]])="",AB407,PROPER(TRIM(sales_dataset[[#This Row],[TotalRevenue]])))</f>
        <v>10000</v>
      </c>
      <c r="AD405" s="1">
        <f>ABS(sales_dataset[[#This Row],[Column5]])</f>
        <v>10000</v>
      </c>
      <c r="AE405" s="1">
        <f>sales_dataset[[#This Row],[Column17]]*sales_dataset[[#This Row],[Column16]]</f>
        <v>0</v>
      </c>
    </row>
    <row r="406" spans="3:31" x14ac:dyDescent="0.3">
      <c r="C406" s="1" t="s">
        <v>35</v>
      </c>
      <c r="F406" s="1" t="s">
        <v>72</v>
      </c>
      <c r="H406" s="1" t="s">
        <v>19</v>
      </c>
      <c r="J406" s="1" t="s">
        <v>19</v>
      </c>
      <c r="K406" s="1" t="str">
        <f>IF(TRIM(sales_dataset[[#This Row],[Region]])="", J408, PROPER(TRIM(sales_dataset[[#This Row],[Region]])))</f>
        <v>East</v>
      </c>
      <c r="N406" s="1" t="s">
        <v>30</v>
      </c>
      <c r="Q406" s="1" t="s">
        <v>82</v>
      </c>
      <c r="R406" s="1" t="str">
        <f>IF(TRIM(sales_dataset[[#This Row],[ProductCategory]])="", R424, PROPER(TRIM(sales_dataset[[#This Row],[ProductCategory]])))</f>
        <v>Electronics</v>
      </c>
      <c r="T406" s="1" t="s">
        <v>19</v>
      </c>
      <c r="W406">
        <f>IF(TRIM(sales_dataset[[#This Row],[Quantity]])="",V412,PROPER(TRIM(sales_dataset[[#This Row],[Quantity]])))</f>
        <v>0</v>
      </c>
      <c r="Y406">
        <v>2500</v>
      </c>
      <c r="Z406" t="str">
        <f>IF(TRIM(sales_dataset[[#This Row],[UnitPrice]])="",Y408,PROPER(TRIM(sales_dataset[[#This Row],[UnitPrice]])))</f>
        <v>2500</v>
      </c>
      <c r="AC406" s="1">
        <f>IF(TRIM(sales_dataset[[#This Row],[TotalRevenue]])="",AB408,PROPER(TRIM(sales_dataset[[#This Row],[TotalRevenue]])))</f>
        <v>2500</v>
      </c>
      <c r="AD406" s="1">
        <f>ABS(sales_dataset[[#This Row],[Column5]])</f>
        <v>2500</v>
      </c>
      <c r="AE406" s="1">
        <f>sales_dataset[[#This Row],[Column17]]*sales_dataset[[#This Row],[Column16]]</f>
        <v>0</v>
      </c>
    </row>
    <row r="407" spans="3:31" x14ac:dyDescent="0.3">
      <c r="C407" s="1" t="s">
        <v>43</v>
      </c>
      <c r="F407" s="1" t="s">
        <v>53</v>
      </c>
      <c r="H407" s="1" t="s">
        <v>19</v>
      </c>
      <c r="J407" s="1" t="s">
        <v>37</v>
      </c>
      <c r="K407" s="1" t="str">
        <f>IF(TRIM(sales_dataset[[#This Row],[Region]])="", J409, PROPER(TRIM(sales_dataset[[#This Row],[Region]])))</f>
        <v>North</v>
      </c>
      <c r="N407" s="1" t="s">
        <v>39</v>
      </c>
      <c r="Q407" s="1" t="s">
        <v>19</v>
      </c>
      <c r="R407" s="1" t="str">
        <f>IF(TRIM(sales_dataset[[#This Row],[ProductCategory]])="", R425, PROPER(TRIM(sales_dataset[[#This Row],[ProductCategory]])))</f>
        <v>Electronics</v>
      </c>
      <c r="T407" s="1" t="s">
        <v>33</v>
      </c>
      <c r="V407">
        <v>3</v>
      </c>
      <c r="W407" t="str">
        <f>IF(TRIM(sales_dataset[[#This Row],[Quantity]])="",V413,PROPER(TRIM(sales_dataset[[#This Row],[Quantity]])))</f>
        <v>3</v>
      </c>
      <c r="Y407">
        <v>1500</v>
      </c>
      <c r="Z407" t="str">
        <f>IF(TRIM(sales_dataset[[#This Row],[UnitPrice]])="",Y409,PROPER(TRIM(sales_dataset[[#This Row],[UnitPrice]])))</f>
        <v>1500</v>
      </c>
      <c r="AB407">
        <v>4500</v>
      </c>
      <c r="AC407" s="1" t="str">
        <f>IF(TRIM(sales_dataset[[#This Row],[TotalRevenue]])="",AB409,PROPER(TRIM(sales_dataset[[#This Row],[TotalRevenue]])))</f>
        <v>4500</v>
      </c>
      <c r="AD407" s="1">
        <f>ABS(sales_dataset[[#This Row],[Column5]])</f>
        <v>4500</v>
      </c>
      <c r="AE407" s="1">
        <f>sales_dataset[[#This Row],[Column17]]*sales_dataset[[#This Row],[Column16]]</f>
        <v>0</v>
      </c>
    </row>
    <row r="408" spans="3:31" x14ac:dyDescent="0.3">
      <c r="C408" s="1" t="s">
        <v>51</v>
      </c>
      <c r="F408" s="1" t="s">
        <v>60</v>
      </c>
      <c r="H408" s="1" t="s">
        <v>73</v>
      </c>
      <c r="J408" s="1" t="s">
        <v>80</v>
      </c>
      <c r="K408" s="1" t="str">
        <f>IF(TRIM(sales_dataset[[#This Row],[Region]])="", J410, PROPER(TRIM(sales_dataset[[#This Row],[Region]])))</f>
        <v>East</v>
      </c>
      <c r="N408" s="1" t="s">
        <v>30</v>
      </c>
      <c r="Q408" s="1" t="s">
        <v>32</v>
      </c>
      <c r="R408" s="1" t="str">
        <f>IF(TRIM(sales_dataset[[#This Row],[ProductCategory]])="", R426, PROPER(TRIM(sales_dataset[[#This Row],[ProductCategory]])))</f>
        <v>Electronics</v>
      </c>
      <c r="T408" s="1" t="s">
        <v>33</v>
      </c>
      <c r="V408">
        <v>5</v>
      </c>
      <c r="W408" t="str">
        <f>IF(TRIM(sales_dataset[[#This Row],[Quantity]])="",V414,PROPER(TRIM(sales_dataset[[#This Row],[Quantity]])))</f>
        <v>5</v>
      </c>
      <c r="Y408">
        <v>500</v>
      </c>
      <c r="Z408" t="str">
        <f>IF(TRIM(sales_dataset[[#This Row],[UnitPrice]])="",Y410,PROPER(TRIM(sales_dataset[[#This Row],[UnitPrice]])))</f>
        <v>500</v>
      </c>
      <c r="AB408">
        <v>2500</v>
      </c>
      <c r="AC408" s="1" t="str">
        <f>IF(TRIM(sales_dataset[[#This Row],[TotalRevenue]])="",AB410,PROPER(TRIM(sales_dataset[[#This Row],[TotalRevenue]])))</f>
        <v>2500</v>
      </c>
      <c r="AD408" s="1">
        <f>ABS(sales_dataset[[#This Row],[Column5]])</f>
        <v>2500</v>
      </c>
      <c r="AE408" s="1">
        <f>sales_dataset[[#This Row],[Column17]]*sales_dataset[[#This Row],[Column16]]</f>
        <v>0</v>
      </c>
    </row>
    <row r="409" spans="3:31" x14ac:dyDescent="0.3">
      <c r="C409" s="1" t="s">
        <v>19</v>
      </c>
      <c r="F409" s="1" t="s">
        <v>53</v>
      </c>
      <c r="H409" s="1" t="s">
        <v>45</v>
      </c>
      <c r="J409" s="1" t="s">
        <v>98</v>
      </c>
      <c r="K409" s="1" t="str">
        <f>IF(TRIM(sales_dataset[[#This Row],[Region]])="", J411, PROPER(TRIM(sales_dataset[[#This Row],[Region]])))</f>
        <v>South</v>
      </c>
      <c r="N409" s="1" t="s">
        <v>39</v>
      </c>
      <c r="Q409" s="1" t="s">
        <v>82</v>
      </c>
      <c r="R409" s="1" t="str">
        <f>IF(TRIM(sales_dataset[[#This Row],[ProductCategory]])="", R427, PROPER(TRIM(sales_dataset[[#This Row],[ProductCategory]])))</f>
        <v>Electronics</v>
      </c>
      <c r="T409" s="1" t="s">
        <v>87</v>
      </c>
      <c r="V409">
        <v>5</v>
      </c>
      <c r="W409" t="str">
        <f>IF(TRIM(sales_dataset[[#This Row],[Quantity]])="",V415,PROPER(TRIM(sales_dataset[[#This Row],[Quantity]])))</f>
        <v>5</v>
      </c>
      <c r="Y409">
        <v>2000</v>
      </c>
      <c r="Z409" t="str">
        <f>IF(TRIM(sales_dataset[[#This Row],[UnitPrice]])="",Y411,PROPER(TRIM(sales_dataset[[#This Row],[UnitPrice]])))</f>
        <v>2000</v>
      </c>
      <c r="AB409">
        <v>10000</v>
      </c>
      <c r="AC409" s="1" t="str">
        <f>IF(TRIM(sales_dataset[[#This Row],[TotalRevenue]])="",AB411,PROPER(TRIM(sales_dataset[[#This Row],[TotalRevenue]])))</f>
        <v>10000</v>
      </c>
      <c r="AD409" s="1">
        <f>ABS(sales_dataset[[#This Row],[Column5]])</f>
        <v>10000</v>
      </c>
      <c r="AE409" s="1">
        <f>sales_dataset[[#This Row],[Column17]]*sales_dataset[[#This Row],[Column16]]</f>
        <v>0</v>
      </c>
    </row>
    <row r="410" spans="3:31" x14ac:dyDescent="0.3">
      <c r="C410" s="1" t="s">
        <v>16</v>
      </c>
      <c r="F410" s="1" t="s">
        <v>19</v>
      </c>
      <c r="H410" s="1" t="s">
        <v>45</v>
      </c>
      <c r="J410" s="1" t="s">
        <v>37</v>
      </c>
      <c r="K410" s="1" t="str">
        <f>IF(TRIM(sales_dataset[[#This Row],[Region]])="", J412, PROPER(TRIM(sales_dataset[[#This Row],[Region]])))</f>
        <v>North</v>
      </c>
      <c r="N410" s="1" t="s">
        <v>56</v>
      </c>
      <c r="Q410" s="1" t="s">
        <v>41</v>
      </c>
      <c r="R410" s="1" t="str">
        <f>IF(TRIM(sales_dataset[[#This Row],[ProductCategory]])="", R428, PROPER(TRIM(sales_dataset[[#This Row],[ProductCategory]])))</f>
        <v>Home</v>
      </c>
      <c r="T410" s="1" t="s">
        <v>87</v>
      </c>
      <c r="V410">
        <v>2</v>
      </c>
      <c r="W410" t="str">
        <f>IF(TRIM(sales_dataset[[#This Row],[Quantity]])="",V416,PROPER(TRIM(sales_dataset[[#This Row],[Quantity]])))</f>
        <v>2</v>
      </c>
      <c r="Y410">
        <v>1500</v>
      </c>
      <c r="Z410" t="str">
        <f>IF(TRIM(sales_dataset[[#This Row],[UnitPrice]])="",Y412,PROPER(TRIM(sales_dataset[[#This Row],[UnitPrice]])))</f>
        <v>1500</v>
      </c>
      <c r="AB410">
        <v>3000</v>
      </c>
      <c r="AC410" s="1" t="str">
        <f>IF(TRIM(sales_dataset[[#This Row],[TotalRevenue]])="",AB412,PROPER(TRIM(sales_dataset[[#This Row],[TotalRevenue]])))</f>
        <v>3000</v>
      </c>
      <c r="AD410" s="1">
        <f>ABS(sales_dataset[[#This Row],[Column5]])</f>
        <v>3000</v>
      </c>
      <c r="AE410" s="1">
        <f>sales_dataset[[#This Row],[Column17]]*sales_dataset[[#This Row],[Column16]]</f>
        <v>0</v>
      </c>
    </row>
    <row r="411" spans="3:31" x14ac:dyDescent="0.3">
      <c r="C411" s="1" t="s">
        <v>25</v>
      </c>
      <c r="F411" s="1" t="s">
        <v>27</v>
      </c>
      <c r="H411" s="1" t="s">
        <v>45</v>
      </c>
      <c r="J411" s="1" t="s">
        <v>19</v>
      </c>
      <c r="K411" s="1" t="str">
        <f>IF(TRIM(sales_dataset[[#This Row],[Region]])="", J413, PROPER(TRIM(sales_dataset[[#This Row],[Region]])))</f>
        <v>South</v>
      </c>
      <c r="N411" s="1" t="s">
        <v>56</v>
      </c>
      <c r="Q411" s="1" t="s">
        <v>19</v>
      </c>
      <c r="R411" s="1" t="str">
        <f>IF(TRIM(sales_dataset[[#This Row],[ProductCategory]])="", R429, PROPER(TRIM(sales_dataset[[#This Row],[ProductCategory]])))</f>
        <v>Electronics</v>
      </c>
      <c r="T411" s="1" t="s">
        <v>87</v>
      </c>
      <c r="W411">
        <f>IF(TRIM(sales_dataset[[#This Row],[Quantity]])="",V417,PROPER(TRIM(sales_dataset[[#This Row],[Quantity]])))</f>
        <v>1</v>
      </c>
      <c r="Y411">
        <v>1500</v>
      </c>
      <c r="Z411" t="str">
        <f>IF(TRIM(sales_dataset[[#This Row],[UnitPrice]])="",Y413,PROPER(TRIM(sales_dataset[[#This Row],[UnitPrice]])))</f>
        <v>1500</v>
      </c>
      <c r="AC411" s="1">
        <f>IF(TRIM(sales_dataset[[#This Row],[TotalRevenue]])="",AB413,PROPER(TRIM(sales_dataset[[#This Row],[TotalRevenue]])))</f>
        <v>-400</v>
      </c>
      <c r="AD411" s="1">
        <f>ABS(sales_dataset[[#This Row],[Column5]])</f>
        <v>400</v>
      </c>
      <c r="AE411" s="1">
        <f>sales_dataset[[#This Row],[Column17]]*sales_dataset[[#This Row],[Column16]]</f>
        <v>0</v>
      </c>
    </row>
    <row r="412" spans="3:31" x14ac:dyDescent="0.3">
      <c r="C412" s="1" t="s">
        <v>35</v>
      </c>
      <c r="F412" s="1" t="s">
        <v>53</v>
      </c>
      <c r="H412" s="1" t="s">
        <v>147</v>
      </c>
      <c r="J412" s="1" t="s">
        <v>37</v>
      </c>
      <c r="K412" s="1" t="str">
        <f>IF(TRIM(sales_dataset[[#This Row],[Region]])="", J414, PROPER(TRIM(sales_dataset[[#This Row],[Region]])))</f>
        <v>North</v>
      </c>
      <c r="N412" s="1" t="s">
        <v>48</v>
      </c>
      <c r="Q412" s="1" t="s">
        <v>63</v>
      </c>
      <c r="R412" s="1" t="str">
        <f>IF(TRIM(sales_dataset[[#This Row],[ProductCategory]])="", R430, PROPER(TRIM(sales_dataset[[#This Row],[ProductCategory]])))</f>
        <v>Clothing</v>
      </c>
      <c r="T412" s="1" t="s">
        <v>33</v>
      </c>
      <c r="W412">
        <f>IF(TRIM(sales_dataset[[#This Row],[Quantity]])="",V418,PROPER(TRIM(sales_dataset[[#This Row],[Quantity]])))</f>
        <v>-1</v>
      </c>
      <c r="Y412">
        <v>-100</v>
      </c>
      <c r="Z412" t="str">
        <f>IF(TRIM(sales_dataset[[#This Row],[UnitPrice]])="",Y414,PROPER(TRIM(sales_dataset[[#This Row],[UnitPrice]])))</f>
        <v>-100</v>
      </c>
      <c r="AC412" s="1">
        <f>IF(TRIM(sales_dataset[[#This Row],[TotalRevenue]])="",AB414,PROPER(TRIM(sales_dataset[[#This Row],[TotalRevenue]])))</f>
        <v>-300</v>
      </c>
      <c r="AD412" s="1">
        <f>ABS(sales_dataset[[#This Row],[Column5]])</f>
        <v>300</v>
      </c>
      <c r="AE412" s="1">
        <f>sales_dataset[[#This Row],[Column17]]*sales_dataset[[#This Row],[Column16]]</f>
        <v>0</v>
      </c>
    </row>
    <row r="413" spans="3:31" x14ac:dyDescent="0.3">
      <c r="C413" s="1" t="s">
        <v>43</v>
      </c>
      <c r="F413" s="1" t="s">
        <v>18</v>
      </c>
      <c r="H413" s="1" t="s">
        <v>147</v>
      </c>
      <c r="J413" s="1" t="s">
        <v>98</v>
      </c>
      <c r="K413" s="1" t="str">
        <f>IF(TRIM(sales_dataset[[#This Row],[Region]])="", J415, PROPER(TRIM(sales_dataset[[#This Row],[Region]])))</f>
        <v>South</v>
      </c>
      <c r="N413" s="1" t="s">
        <v>48</v>
      </c>
      <c r="Q413" s="1" t="s">
        <v>63</v>
      </c>
      <c r="R413" s="1" t="str">
        <f>IF(TRIM(sales_dataset[[#This Row],[ProductCategory]])="", R431, PROPER(TRIM(sales_dataset[[#This Row],[ProductCategory]])))</f>
        <v>Clothing</v>
      </c>
      <c r="T413" s="1" t="s">
        <v>69</v>
      </c>
      <c r="V413">
        <v>4</v>
      </c>
      <c r="W413" t="str">
        <f>IF(TRIM(sales_dataset[[#This Row],[Quantity]])="",V419,PROPER(TRIM(sales_dataset[[#This Row],[Quantity]])))</f>
        <v>4</v>
      </c>
      <c r="Y413">
        <v>-100</v>
      </c>
      <c r="Z413" t="str">
        <f>IF(TRIM(sales_dataset[[#This Row],[UnitPrice]])="",Y415,PROPER(TRIM(sales_dataset[[#This Row],[UnitPrice]])))</f>
        <v>-100</v>
      </c>
      <c r="AB413">
        <v>-400</v>
      </c>
      <c r="AC413" s="1" t="str">
        <f>IF(TRIM(sales_dataset[[#This Row],[TotalRevenue]])="",AB415,PROPER(TRIM(sales_dataset[[#This Row],[TotalRevenue]])))</f>
        <v>-400</v>
      </c>
      <c r="AD413" s="1">
        <f>ABS(sales_dataset[[#This Row],[Column5]])</f>
        <v>400</v>
      </c>
      <c r="AE413" s="1">
        <f>sales_dataset[[#This Row],[Column17]]*sales_dataset[[#This Row],[Column16]]</f>
        <v>0</v>
      </c>
    </row>
    <row r="414" spans="3:31" x14ac:dyDescent="0.3">
      <c r="C414" s="1" t="s">
        <v>51</v>
      </c>
      <c r="F414" s="1" t="s">
        <v>53</v>
      </c>
      <c r="H414" s="1" t="s">
        <v>45</v>
      </c>
      <c r="J414" s="1" t="s">
        <v>98</v>
      </c>
      <c r="K414" s="1" t="str">
        <f>IF(TRIM(sales_dataset[[#This Row],[Region]])="", J416, PROPER(TRIM(sales_dataset[[#This Row],[Region]])))</f>
        <v>South</v>
      </c>
      <c r="N414" s="1" t="s">
        <v>48</v>
      </c>
      <c r="Q414" s="1" t="s">
        <v>41</v>
      </c>
      <c r="R414" s="1" t="str">
        <f>IF(TRIM(sales_dataset[[#This Row],[ProductCategory]])="", R432, PROPER(TRIM(sales_dataset[[#This Row],[ProductCategory]])))</f>
        <v>Home</v>
      </c>
      <c r="T414" s="1" t="s">
        <v>69</v>
      </c>
      <c r="V414">
        <v>3</v>
      </c>
      <c r="W414" t="str">
        <f>IF(TRIM(sales_dataset[[#This Row],[Quantity]])="",V420,PROPER(TRIM(sales_dataset[[#This Row],[Quantity]])))</f>
        <v>3</v>
      </c>
      <c r="Y414">
        <v>-100</v>
      </c>
      <c r="Z414" t="str">
        <f>IF(TRIM(sales_dataset[[#This Row],[UnitPrice]])="",Y416,PROPER(TRIM(sales_dataset[[#This Row],[UnitPrice]])))</f>
        <v>-100</v>
      </c>
      <c r="AB414">
        <v>-300</v>
      </c>
      <c r="AC414" s="1" t="str">
        <f>IF(TRIM(sales_dataset[[#This Row],[TotalRevenue]])="",AB416,PROPER(TRIM(sales_dataset[[#This Row],[TotalRevenue]])))</f>
        <v>-300</v>
      </c>
      <c r="AD414" s="1">
        <f>ABS(sales_dataset[[#This Row],[Column5]])</f>
        <v>300</v>
      </c>
      <c r="AE414" s="1">
        <f>sales_dataset[[#This Row],[Column17]]*sales_dataset[[#This Row],[Column16]]</f>
        <v>0</v>
      </c>
    </row>
    <row r="415" spans="3:31" x14ac:dyDescent="0.3">
      <c r="C415" s="1" t="s">
        <v>19</v>
      </c>
      <c r="F415" s="1" t="s">
        <v>27</v>
      </c>
      <c r="H415" s="1" t="s">
        <v>45</v>
      </c>
      <c r="J415" s="1" t="s">
        <v>66</v>
      </c>
      <c r="K415" s="1" t="str">
        <f>IF(TRIM(sales_dataset[[#This Row],[Region]])="", J417, PROPER(TRIM(sales_dataset[[#This Row],[Region]])))</f>
        <v>West</v>
      </c>
      <c r="N415" s="1" t="s">
        <v>56</v>
      </c>
      <c r="Q415" s="1" t="s">
        <v>63</v>
      </c>
      <c r="R415" s="1" t="str">
        <f>IF(TRIM(sales_dataset[[#This Row],[ProductCategory]])="", R433, PROPER(TRIM(sales_dataset[[#This Row],[ProductCategory]])))</f>
        <v>Clothing</v>
      </c>
      <c r="T415" s="1" t="s">
        <v>95</v>
      </c>
      <c r="V415">
        <v>3</v>
      </c>
      <c r="W415" t="str">
        <f>IF(TRIM(sales_dataset[[#This Row],[Quantity]])="",V421,PROPER(TRIM(sales_dataset[[#This Row],[Quantity]])))</f>
        <v>3</v>
      </c>
      <c r="Y415">
        <v>2500</v>
      </c>
      <c r="Z415" t="str">
        <f>IF(TRIM(sales_dataset[[#This Row],[UnitPrice]])="",Y417,PROPER(TRIM(sales_dataset[[#This Row],[UnitPrice]])))</f>
        <v>2500</v>
      </c>
      <c r="AB415">
        <v>7500</v>
      </c>
      <c r="AC415" s="1" t="str">
        <f>IF(TRIM(sales_dataset[[#This Row],[TotalRevenue]])="",AB417,PROPER(TRIM(sales_dataset[[#This Row],[TotalRevenue]])))</f>
        <v>7500</v>
      </c>
      <c r="AD415" s="1">
        <f>ABS(sales_dataset[[#This Row],[Column5]])</f>
        <v>7500</v>
      </c>
      <c r="AE415" s="1">
        <f>sales_dataset[[#This Row],[Column17]]*sales_dataset[[#This Row],[Column16]]</f>
        <v>0</v>
      </c>
    </row>
    <row r="416" spans="3:31" x14ac:dyDescent="0.3">
      <c r="C416" s="1" t="s">
        <v>16</v>
      </c>
      <c r="F416" s="1" t="s">
        <v>60</v>
      </c>
      <c r="H416" s="1" t="s">
        <v>19</v>
      </c>
      <c r="J416" s="1" t="s">
        <v>37</v>
      </c>
      <c r="K416" s="1" t="str">
        <f>IF(TRIM(sales_dataset[[#This Row],[Region]])="", J418, PROPER(TRIM(sales_dataset[[#This Row],[Region]])))</f>
        <v>North</v>
      </c>
      <c r="N416" s="1" t="s">
        <v>30</v>
      </c>
      <c r="Q416" s="1" t="s">
        <v>41</v>
      </c>
      <c r="R416" s="1" t="str">
        <f>IF(TRIM(sales_dataset[[#This Row],[ProductCategory]])="", R434, PROPER(TRIM(sales_dataset[[#This Row],[ProductCategory]])))</f>
        <v>Home</v>
      </c>
      <c r="T416" s="1" t="s">
        <v>19</v>
      </c>
      <c r="V416">
        <v>-1</v>
      </c>
      <c r="W416" t="str">
        <f>IF(TRIM(sales_dataset[[#This Row],[Quantity]])="",V422,PROPER(TRIM(sales_dataset[[#This Row],[Quantity]])))</f>
        <v>-1</v>
      </c>
      <c r="Y416">
        <v>2000</v>
      </c>
      <c r="Z416" t="str">
        <f>IF(TRIM(sales_dataset[[#This Row],[UnitPrice]])="",Y418,PROPER(TRIM(sales_dataset[[#This Row],[UnitPrice]])))</f>
        <v>2000</v>
      </c>
      <c r="AB416">
        <v>-2000</v>
      </c>
      <c r="AC416" s="1" t="str">
        <f>IF(TRIM(sales_dataset[[#This Row],[TotalRevenue]])="",AB418,PROPER(TRIM(sales_dataset[[#This Row],[TotalRevenue]])))</f>
        <v>-2000</v>
      </c>
      <c r="AD416" s="1">
        <f>ABS(sales_dataset[[#This Row],[Column5]])</f>
        <v>2000</v>
      </c>
      <c r="AE416" s="1">
        <f>sales_dataset[[#This Row],[Column17]]*sales_dataset[[#This Row],[Column16]]</f>
        <v>0</v>
      </c>
    </row>
    <row r="417" spans="3:31" x14ac:dyDescent="0.3">
      <c r="C417" s="1" t="s">
        <v>25</v>
      </c>
      <c r="F417" s="1" t="s">
        <v>72</v>
      </c>
      <c r="H417" s="1" t="s">
        <v>79</v>
      </c>
      <c r="J417" s="1" t="s">
        <v>46</v>
      </c>
      <c r="K417" s="1" t="str">
        <f>IF(TRIM(sales_dataset[[#This Row],[Region]])="", J419, PROPER(TRIM(sales_dataset[[#This Row],[Region]])))</f>
        <v>North</v>
      </c>
      <c r="N417" s="1" t="s">
        <v>30</v>
      </c>
      <c r="Q417" s="1" t="s">
        <v>82</v>
      </c>
      <c r="R417" s="1" t="str">
        <f>IF(TRIM(sales_dataset[[#This Row],[ProductCategory]])="", R435, PROPER(TRIM(sales_dataset[[#This Row],[ProductCategory]])))</f>
        <v>Electronics</v>
      </c>
      <c r="T417" s="1" t="s">
        <v>69</v>
      </c>
      <c r="V417">
        <v>1</v>
      </c>
      <c r="W417" t="str">
        <f>IF(TRIM(sales_dataset[[#This Row],[Quantity]])="",V423,PROPER(TRIM(sales_dataset[[#This Row],[Quantity]])))</f>
        <v>1</v>
      </c>
      <c r="Y417">
        <v>2000</v>
      </c>
      <c r="Z417" t="str">
        <f>IF(TRIM(sales_dataset[[#This Row],[UnitPrice]])="",Y419,PROPER(TRIM(sales_dataset[[#This Row],[UnitPrice]])))</f>
        <v>2000</v>
      </c>
      <c r="AB417">
        <v>1000</v>
      </c>
      <c r="AC417" s="1" t="str">
        <f>IF(TRIM(sales_dataset[[#This Row],[TotalRevenue]])="",AB419,PROPER(TRIM(sales_dataset[[#This Row],[TotalRevenue]])))</f>
        <v>1000</v>
      </c>
      <c r="AD417" s="1">
        <f>ABS(sales_dataset[[#This Row],[Column5]])</f>
        <v>1000</v>
      </c>
      <c r="AE417" s="1">
        <f>sales_dataset[[#This Row],[Column17]]*sales_dataset[[#This Row],[Column16]]</f>
        <v>0</v>
      </c>
    </row>
    <row r="418" spans="3:31" x14ac:dyDescent="0.3">
      <c r="C418" s="1" t="s">
        <v>35</v>
      </c>
      <c r="F418" s="1" t="s">
        <v>60</v>
      </c>
      <c r="H418" s="1" t="s">
        <v>73</v>
      </c>
      <c r="J418" s="1" t="s">
        <v>46</v>
      </c>
      <c r="K418" s="1" t="str">
        <f>IF(TRIM(sales_dataset[[#This Row],[Region]])="", J420, PROPER(TRIM(sales_dataset[[#This Row],[Region]])))</f>
        <v>North</v>
      </c>
      <c r="N418" s="1" t="s">
        <v>30</v>
      </c>
      <c r="Q418" s="1" t="s">
        <v>82</v>
      </c>
      <c r="R418" s="1" t="str">
        <f>IF(TRIM(sales_dataset[[#This Row],[ProductCategory]])="", R436, PROPER(TRIM(sales_dataset[[#This Row],[ProductCategory]])))</f>
        <v>Electronics</v>
      </c>
      <c r="T418" s="1" t="s">
        <v>23</v>
      </c>
      <c r="V418">
        <v>-1</v>
      </c>
      <c r="W418" t="str">
        <f>IF(TRIM(sales_dataset[[#This Row],[Quantity]])="",V424,PROPER(TRIM(sales_dataset[[#This Row],[Quantity]])))</f>
        <v>-1</v>
      </c>
      <c r="Y418">
        <v>1500</v>
      </c>
      <c r="Z418" t="str">
        <f>IF(TRIM(sales_dataset[[#This Row],[UnitPrice]])="",Y420,PROPER(TRIM(sales_dataset[[#This Row],[UnitPrice]])))</f>
        <v>1500</v>
      </c>
      <c r="AB418">
        <v>-1500</v>
      </c>
      <c r="AC418" s="1" t="str">
        <f>IF(TRIM(sales_dataset[[#This Row],[TotalRevenue]])="",AB420,PROPER(TRIM(sales_dataset[[#This Row],[TotalRevenue]])))</f>
        <v>-1500</v>
      </c>
      <c r="AD418" s="1">
        <f>ABS(sales_dataset[[#This Row],[Column5]])</f>
        <v>1500</v>
      </c>
      <c r="AE418" s="1">
        <f>sales_dataset[[#This Row],[Column17]]*sales_dataset[[#This Row],[Column16]]</f>
        <v>0</v>
      </c>
    </row>
    <row r="419" spans="3:31" x14ac:dyDescent="0.3">
      <c r="C419" s="1" t="s">
        <v>43</v>
      </c>
      <c r="F419" s="1" t="s">
        <v>60</v>
      </c>
      <c r="H419" s="1" t="s">
        <v>147</v>
      </c>
      <c r="J419" s="1" t="s">
        <v>37</v>
      </c>
      <c r="K419" s="1" t="str">
        <f>IF(TRIM(sales_dataset[[#This Row],[Region]])="", J421, PROPER(TRIM(sales_dataset[[#This Row],[Region]])))</f>
        <v>North</v>
      </c>
      <c r="N419" s="1" t="s">
        <v>21</v>
      </c>
      <c r="Q419" s="1" t="s">
        <v>63</v>
      </c>
      <c r="R419" s="1" t="str">
        <f>IF(TRIM(sales_dataset[[#This Row],[ProductCategory]])="", R437, PROPER(TRIM(sales_dataset[[#This Row],[ProductCategory]])))</f>
        <v>Clothing</v>
      </c>
      <c r="T419" s="1" t="s">
        <v>19</v>
      </c>
      <c r="V419">
        <v>2</v>
      </c>
      <c r="W419" t="str">
        <f>IF(TRIM(sales_dataset[[#This Row],[Quantity]])="",V425,PROPER(TRIM(sales_dataset[[#This Row],[Quantity]])))</f>
        <v>2</v>
      </c>
      <c r="Y419">
        <v>-100</v>
      </c>
      <c r="Z419" t="str">
        <f>IF(TRIM(sales_dataset[[#This Row],[UnitPrice]])="",Y421,PROPER(TRIM(sales_dataset[[#This Row],[UnitPrice]])))</f>
        <v>-100</v>
      </c>
      <c r="AB419">
        <v>-200</v>
      </c>
      <c r="AC419" s="1" t="str">
        <f>IF(TRIM(sales_dataset[[#This Row],[TotalRevenue]])="",AB421,PROPER(TRIM(sales_dataset[[#This Row],[TotalRevenue]])))</f>
        <v>-200</v>
      </c>
      <c r="AD419" s="1">
        <f>ABS(sales_dataset[[#This Row],[Column5]])</f>
        <v>200</v>
      </c>
      <c r="AE419" s="1">
        <f>sales_dataset[[#This Row],[Column17]]*sales_dataset[[#This Row],[Column16]]</f>
        <v>0</v>
      </c>
    </row>
    <row r="420" spans="3:31" x14ac:dyDescent="0.3">
      <c r="C420" s="1" t="s">
        <v>51</v>
      </c>
      <c r="F420" s="1" t="s">
        <v>18</v>
      </c>
      <c r="H420" s="1" t="s">
        <v>19</v>
      </c>
      <c r="J420" s="1" t="s">
        <v>98</v>
      </c>
      <c r="K420" s="1" t="str">
        <f>IF(TRIM(sales_dataset[[#This Row],[Region]])="", J422, PROPER(TRIM(sales_dataset[[#This Row],[Region]])))</f>
        <v>South</v>
      </c>
      <c r="N420" s="1" t="s">
        <v>48</v>
      </c>
      <c r="Q420" s="1" t="s">
        <v>19</v>
      </c>
      <c r="R420" s="1" t="str">
        <f>IF(TRIM(sales_dataset[[#This Row],[ProductCategory]])="", R438, PROPER(TRIM(sales_dataset[[#This Row],[ProductCategory]])))</f>
        <v>Clothing</v>
      </c>
      <c r="T420" s="1" t="s">
        <v>19</v>
      </c>
      <c r="V420">
        <v>-1</v>
      </c>
      <c r="W420" t="str">
        <f>IF(TRIM(sales_dataset[[#This Row],[Quantity]])="",V426,PROPER(TRIM(sales_dataset[[#This Row],[Quantity]])))</f>
        <v>-1</v>
      </c>
      <c r="Y420">
        <v>-100</v>
      </c>
      <c r="Z420" t="str">
        <f>IF(TRIM(sales_dataset[[#This Row],[UnitPrice]])="",Y422,PROPER(TRIM(sales_dataset[[#This Row],[UnitPrice]])))</f>
        <v>-100</v>
      </c>
      <c r="AB420">
        <v>100</v>
      </c>
      <c r="AC420" s="1" t="str">
        <f>IF(TRIM(sales_dataset[[#This Row],[TotalRevenue]])="",AB422,PROPER(TRIM(sales_dataset[[#This Row],[TotalRevenue]])))</f>
        <v>100</v>
      </c>
      <c r="AD420" s="1">
        <f>ABS(sales_dataset[[#This Row],[Column5]])</f>
        <v>100</v>
      </c>
      <c r="AE420" s="1">
        <f>sales_dataset[[#This Row],[Column17]]*sales_dataset[[#This Row],[Column16]]</f>
        <v>0</v>
      </c>
    </row>
    <row r="421" spans="3:31" x14ac:dyDescent="0.3">
      <c r="C421" s="1" t="s">
        <v>19</v>
      </c>
      <c r="F421" s="1" t="s">
        <v>27</v>
      </c>
      <c r="H421" s="1" t="s">
        <v>45</v>
      </c>
      <c r="J421" s="1" t="s">
        <v>80</v>
      </c>
      <c r="K421" s="1" t="str">
        <f>IF(TRIM(sales_dataset[[#This Row],[Region]])="", J423, PROPER(TRIM(sales_dataset[[#This Row],[Region]])))</f>
        <v>East</v>
      </c>
      <c r="N421" s="1" t="s">
        <v>30</v>
      </c>
      <c r="Q421" s="1" t="s">
        <v>63</v>
      </c>
      <c r="R421" s="1" t="str">
        <f>IF(TRIM(sales_dataset[[#This Row],[ProductCategory]])="", R439, PROPER(TRIM(sales_dataset[[#This Row],[ProductCategory]])))</f>
        <v>Clothing</v>
      </c>
      <c r="T421" s="1" t="s">
        <v>19</v>
      </c>
      <c r="V421">
        <v>4</v>
      </c>
      <c r="W421" t="str">
        <f>IF(TRIM(sales_dataset[[#This Row],[Quantity]])="",V427,PROPER(TRIM(sales_dataset[[#This Row],[Quantity]])))</f>
        <v>4</v>
      </c>
      <c r="Y421">
        <v>2000</v>
      </c>
      <c r="Z421" t="str">
        <f>IF(TRIM(sales_dataset[[#This Row],[UnitPrice]])="",Y423,PROPER(TRIM(sales_dataset[[#This Row],[UnitPrice]])))</f>
        <v>2000</v>
      </c>
      <c r="AB421">
        <v>8000</v>
      </c>
      <c r="AC421" s="1" t="str">
        <f>IF(TRIM(sales_dataset[[#This Row],[TotalRevenue]])="",AB423,PROPER(TRIM(sales_dataset[[#This Row],[TotalRevenue]])))</f>
        <v>8000</v>
      </c>
      <c r="AD421" s="1">
        <f>ABS(sales_dataset[[#This Row],[Column5]])</f>
        <v>8000</v>
      </c>
      <c r="AE421" s="1">
        <f>sales_dataset[[#This Row],[Column17]]*sales_dataset[[#This Row],[Column16]]</f>
        <v>0</v>
      </c>
    </row>
    <row r="422" spans="3:31" x14ac:dyDescent="0.3">
      <c r="C422" s="1" t="s">
        <v>16</v>
      </c>
      <c r="F422" s="1" t="s">
        <v>60</v>
      </c>
      <c r="H422" s="1" t="s">
        <v>79</v>
      </c>
      <c r="J422" s="1" t="s">
        <v>98</v>
      </c>
      <c r="K422" s="1" t="str">
        <f>IF(TRIM(sales_dataset[[#This Row],[Region]])="", J424, PROPER(TRIM(sales_dataset[[#This Row],[Region]])))</f>
        <v>South</v>
      </c>
      <c r="N422" s="1" t="s">
        <v>48</v>
      </c>
      <c r="Q422" s="1" t="s">
        <v>82</v>
      </c>
      <c r="R422" s="1" t="str">
        <f>IF(TRIM(sales_dataset[[#This Row],[ProductCategory]])="", R440, PROPER(TRIM(sales_dataset[[#This Row],[ProductCategory]])))</f>
        <v>Electronics</v>
      </c>
      <c r="T422" s="1" t="s">
        <v>19</v>
      </c>
      <c r="V422">
        <v>3</v>
      </c>
      <c r="W422" t="str">
        <f>IF(TRIM(sales_dataset[[#This Row],[Quantity]])="",V428,PROPER(TRIM(sales_dataset[[#This Row],[Quantity]])))</f>
        <v>3</v>
      </c>
      <c r="Y422">
        <v>2500</v>
      </c>
      <c r="Z422" t="str">
        <f>IF(TRIM(sales_dataset[[#This Row],[UnitPrice]])="",Y424,PROPER(TRIM(sales_dataset[[#This Row],[UnitPrice]])))</f>
        <v>2500</v>
      </c>
      <c r="AB422">
        <v>7500</v>
      </c>
      <c r="AC422" s="1" t="str">
        <f>IF(TRIM(sales_dataset[[#This Row],[TotalRevenue]])="",AB424,PROPER(TRIM(sales_dataset[[#This Row],[TotalRevenue]])))</f>
        <v>7500</v>
      </c>
      <c r="AD422" s="1">
        <f>ABS(sales_dataset[[#This Row],[Column5]])</f>
        <v>7500</v>
      </c>
      <c r="AE422" s="1">
        <f>sales_dataset[[#This Row],[Column17]]*sales_dataset[[#This Row],[Column16]]</f>
        <v>0</v>
      </c>
    </row>
    <row r="423" spans="3:31" x14ac:dyDescent="0.3">
      <c r="C423" s="1" t="s">
        <v>25</v>
      </c>
      <c r="F423" s="1" t="s">
        <v>60</v>
      </c>
      <c r="H423" s="1" t="s">
        <v>28</v>
      </c>
      <c r="J423" s="1" t="s">
        <v>98</v>
      </c>
      <c r="K423" s="1" t="str">
        <f>IF(TRIM(sales_dataset[[#This Row],[Region]])="", J425, PROPER(TRIM(sales_dataset[[#This Row],[Region]])))</f>
        <v>South</v>
      </c>
      <c r="N423" s="1" t="s">
        <v>48</v>
      </c>
      <c r="Q423" s="1" t="s">
        <v>19</v>
      </c>
      <c r="R423" s="1" t="str">
        <f>IF(TRIM(sales_dataset[[#This Row],[ProductCategory]])="", R441, PROPER(TRIM(sales_dataset[[#This Row],[ProductCategory]])))</f>
        <v>Home</v>
      </c>
      <c r="T423" s="1" t="s">
        <v>95</v>
      </c>
      <c r="V423">
        <v>5</v>
      </c>
      <c r="W423" t="str">
        <f>IF(TRIM(sales_dataset[[#This Row],[Quantity]])="",V429,PROPER(TRIM(sales_dataset[[#This Row],[Quantity]])))</f>
        <v>5</v>
      </c>
      <c r="Y423">
        <v>2500</v>
      </c>
      <c r="Z423" t="str">
        <f>IF(TRIM(sales_dataset[[#This Row],[UnitPrice]])="",Y425,PROPER(TRIM(sales_dataset[[#This Row],[UnitPrice]])))</f>
        <v>2500</v>
      </c>
      <c r="AB423">
        <v>12500</v>
      </c>
      <c r="AC423" s="1" t="str">
        <f>IF(TRIM(sales_dataset[[#This Row],[TotalRevenue]])="",AB425,PROPER(TRIM(sales_dataset[[#This Row],[TotalRevenue]])))</f>
        <v>12500</v>
      </c>
      <c r="AD423" s="1">
        <f>ABS(sales_dataset[[#This Row],[Column5]])</f>
        <v>12500</v>
      </c>
      <c r="AE423" s="1">
        <f>sales_dataset[[#This Row],[Column17]]*sales_dataset[[#This Row],[Column16]]</f>
        <v>0</v>
      </c>
    </row>
    <row r="424" spans="3:31" x14ac:dyDescent="0.3">
      <c r="C424" s="1" t="s">
        <v>35</v>
      </c>
      <c r="F424" s="1" t="s">
        <v>72</v>
      </c>
      <c r="H424" s="1" t="s">
        <v>54</v>
      </c>
      <c r="J424" s="1" t="s">
        <v>80</v>
      </c>
      <c r="K424" s="1" t="str">
        <f>IF(TRIM(sales_dataset[[#This Row],[Region]])="", J426, PROPER(TRIM(sales_dataset[[#This Row],[Region]])))</f>
        <v>East</v>
      </c>
      <c r="N424" s="1" t="s">
        <v>21</v>
      </c>
      <c r="Q424" s="1" t="s">
        <v>41</v>
      </c>
      <c r="R424" s="1" t="str">
        <f>IF(TRIM(sales_dataset[[#This Row],[ProductCategory]])="", R442, PROPER(TRIM(sales_dataset[[#This Row],[ProductCategory]])))</f>
        <v>Home</v>
      </c>
      <c r="T424" s="1" t="s">
        <v>76</v>
      </c>
      <c r="V424">
        <v>-1</v>
      </c>
      <c r="W424" t="str">
        <f>IF(TRIM(sales_dataset[[#This Row],[Quantity]])="",V430,PROPER(TRIM(sales_dataset[[#This Row],[Quantity]])))</f>
        <v>-1</v>
      </c>
      <c r="Y424">
        <v>2500</v>
      </c>
      <c r="Z424" t="str">
        <f>IF(TRIM(sales_dataset[[#This Row],[UnitPrice]])="",Y426,PROPER(TRIM(sales_dataset[[#This Row],[UnitPrice]])))</f>
        <v>2500</v>
      </c>
      <c r="AB424">
        <v>-2500</v>
      </c>
      <c r="AC424" s="1" t="str">
        <f>IF(TRIM(sales_dataset[[#This Row],[TotalRevenue]])="",AB426,PROPER(TRIM(sales_dataset[[#This Row],[TotalRevenue]])))</f>
        <v>-2500</v>
      </c>
      <c r="AD424" s="1">
        <f>ABS(sales_dataset[[#This Row],[Column5]])</f>
        <v>2500</v>
      </c>
      <c r="AE424" s="1">
        <f>sales_dataset[[#This Row],[Column17]]*sales_dataset[[#This Row],[Column16]]</f>
        <v>0</v>
      </c>
    </row>
    <row r="425" spans="3:31" x14ac:dyDescent="0.3">
      <c r="C425" s="1" t="s">
        <v>43</v>
      </c>
      <c r="F425" s="1" t="s">
        <v>118</v>
      </c>
      <c r="H425" s="1" t="s">
        <v>45</v>
      </c>
      <c r="J425" s="1" t="s">
        <v>19</v>
      </c>
      <c r="K425" s="1" t="str">
        <f>IF(TRIM(sales_dataset[[#This Row],[Region]])="", J427, PROPER(TRIM(sales_dataset[[#This Row],[Region]])))</f>
        <v>East</v>
      </c>
      <c r="N425" s="1" t="s">
        <v>56</v>
      </c>
      <c r="Q425" s="1" t="s">
        <v>82</v>
      </c>
      <c r="R425" s="1" t="str">
        <f>IF(TRIM(sales_dataset[[#This Row],[ProductCategory]])="", R443, PROPER(TRIM(sales_dataset[[#This Row],[ProductCategory]])))</f>
        <v>Electronics</v>
      </c>
      <c r="T425" s="1" t="s">
        <v>87</v>
      </c>
      <c r="V425">
        <v>5</v>
      </c>
      <c r="W425" t="str">
        <f>IF(TRIM(sales_dataset[[#This Row],[Quantity]])="",V431,PROPER(TRIM(sales_dataset[[#This Row],[Quantity]])))</f>
        <v>5</v>
      </c>
      <c r="Y425">
        <v>2000</v>
      </c>
      <c r="Z425" t="str">
        <f>IF(TRIM(sales_dataset[[#This Row],[UnitPrice]])="",Y427,PROPER(TRIM(sales_dataset[[#This Row],[UnitPrice]])))</f>
        <v>2000</v>
      </c>
      <c r="AB425">
        <v>10000</v>
      </c>
      <c r="AC425" s="1" t="str">
        <f>IF(TRIM(sales_dataset[[#This Row],[TotalRevenue]])="",AB427,PROPER(TRIM(sales_dataset[[#This Row],[TotalRevenue]])))</f>
        <v>10000</v>
      </c>
      <c r="AD425" s="1">
        <f>ABS(sales_dataset[[#This Row],[Column5]])</f>
        <v>10000</v>
      </c>
      <c r="AE425" s="1">
        <f>sales_dataset[[#This Row],[Column17]]*sales_dataset[[#This Row],[Column16]]</f>
        <v>0</v>
      </c>
    </row>
    <row r="426" spans="3:31" x14ac:dyDescent="0.3">
      <c r="C426" s="1" t="s">
        <v>51</v>
      </c>
      <c r="F426" s="1" t="s">
        <v>72</v>
      </c>
      <c r="H426" s="1" t="s">
        <v>147</v>
      </c>
      <c r="J426" s="1" t="s">
        <v>98</v>
      </c>
      <c r="K426" s="1" t="str">
        <f>IF(TRIM(sales_dataset[[#This Row],[Region]])="", J428, PROPER(TRIM(sales_dataset[[#This Row],[Region]])))</f>
        <v>South</v>
      </c>
      <c r="N426" s="1" t="s">
        <v>30</v>
      </c>
      <c r="Q426" s="1" t="s">
        <v>41</v>
      </c>
      <c r="R426" s="1" t="str">
        <f>IF(TRIM(sales_dataset[[#This Row],[ProductCategory]])="", R444, PROPER(TRIM(sales_dataset[[#This Row],[ProductCategory]])))</f>
        <v>Home</v>
      </c>
      <c r="T426" s="1" t="s">
        <v>33</v>
      </c>
      <c r="V426">
        <v>5</v>
      </c>
      <c r="W426" t="str">
        <f>IF(TRIM(sales_dataset[[#This Row],[Quantity]])="",V432,PROPER(TRIM(sales_dataset[[#This Row],[Quantity]])))</f>
        <v>5</v>
      </c>
      <c r="Y426">
        <v>2000</v>
      </c>
      <c r="Z426" t="str">
        <f>IF(TRIM(sales_dataset[[#This Row],[UnitPrice]])="",Y428,PROPER(TRIM(sales_dataset[[#This Row],[UnitPrice]])))</f>
        <v>2000</v>
      </c>
      <c r="AB426">
        <v>10000</v>
      </c>
      <c r="AC426" s="1" t="str">
        <f>IF(TRIM(sales_dataset[[#This Row],[TotalRevenue]])="",AB428,PROPER(TRIM(sales_dataset[[#This Row],[TotalRevenue]])))</f>
        <v>10000</v>
      </c>
      <c r="AD426" s="1">
        <f>ABS(sales_dataset[[#This Row],[Column5]])</f>
        <v>10000</v>
      </c>
      <c r="AE426" s="1">
        <f>sales_dataset[[#This Row],[Column17]]*sales_dataset[[#This Row],[Column16]]</f>
        <v>0</v>
      </c>
    </row>
    <row r="427" spans="3:31" x14ac:dyDescent="0.3">
      <c r="C427" s="1" t="s">
        <v>19</v>
      </c>
      <c r="F427" s="1" t="s">
        <v>27</v>
      </c>
      <c r="H427" s="1" t="s">
        <v>45</v>
      </c>
      <c r="J427" s="1" t="s">
        <v>80</v>
      </c>
      <c r="K427" s="1" t="str">
        <f>IF(TRIM(sales_dataset[[#This Row],[Region]])="", J429, PROPER(TRIM(sales_dataset[[#This Row],[Region]])))</f>
        <v>East</v>
      </c>
      <c r="N427" s="1" t="s">
        <v>21</v>
      </c>
      <c r="Q427" s="1" t="s">
        <v>32</v>
      </c>
      <c r="R427" s="1" t="str">
        <f>IF(TRIM(sales_dataset[[#This Row],[ProductCategory]])="", R445, PROPER(TRIM(sales_dataset[[#This Row],[ProductCategory]])))</f>
        <v>Electronics</v>
      </c>
      <c r="T427" s="1" t="s">
        <v>87</v>
      </c>
      <c r="V427">
        <v>4</v>
      </c>
      <c r="W427" t="str">
        <f>IF(TRIM(sales_dataset[[#This Row],[Quantity]])="",V433,PROPER(TRIM(sales_dataset[[#This Row],[Quantity]])))</f>
        <v>4</v>
      </c>
      <c r="Y427">
        <v>2500</v>
      </c>
      <c r="Z427" t="str">
        <f>IF(TRIM(sales_dataset[[#This Row],[UnitPrice]])="",Y429,PROPER(TRIM(sales_dataset[[#This Row],[UnitPrice]])))</f>
        <v>2500</v>
      </c>
      <c r="AB427">
        <v>10000</v>
      </c>
      <c r="AC427" s="1" t="str">
        <f>IF(TRIM(sales_dataset[[#This Row],[TotalRevenue]])="",AB429,PROPER(TRIM(sales_dataset[[#This Row],[TotalRevenue]])))</f>
        <v>10000</v>
      </c>
      <c r="AD427" s="1">
        <f>ABS(sales_dataset[[#This Row],[Column5]])</f>
        <v>10000</v>
      </c>
      <c r="AE427" s="1">
        <f>sales_dataset[[#This Row],[Column17]]*sales_dataset[[#This Row],[Column16]]</f>
        <v>0</v>
      </c>
    </row>
    <row r="428" spans="3:31" x14ac:dyDescent="0.3">
      <c r="C428" s="1" t="s">
        <v>16</v>
      </c>
      <c r="F428" s="1" t="s">
        <v>27</v>
      </c>
      <c r="H428" s="1" t="s">
        <v>28</v>
      </c>
      <c r="J428" s="1" t="s">
        <v>37</v>
      </c>
      <c r="K428" s="1" t="str">
        <f>IF(TRIM(sales_dataset[[#This Row],[Region]])="", J430, PROPER(TRIM(sales_dataset[[#This Row],[Region]])))</f>
        <v>North</v>
      </c>
      <c r="N428" s="1" t="s">
        <v>56</v>
      </c>
      <c r="Q428" s="1" t="s">
        <v>19</v>
      </c>
      <c r="R428" s="1" t="str">
        <f>IF(TRIM(sales_dataset[[#This Row],[ProductCategory]])="", R446, PROPER(TRIM(sales_dataset[[#This Row],[ProductCategory]])))</f>
        <v>Home</v>
      </c>
      <c r="T428" s="1" t="s">
        <v>69</v>
      </c>
      <c r="W428">
        <f>IF(TRIM(sales_dataset[[#This Row],[Quantity]])="",V434,PROPER(TRIM(sales_dataset[[#This Row],[Quantity]])))</f>
        <v>1</v>
      </c>
      <c r="Z428">
        <f>IF(TRIM(sales_dataset[[#This Row],[UnitPrice]])="",Y430,PROPER(TRIM(sales_dataset[[#This Row],[UnitPrice]])))</f>
        <v>1500</v>
      </c>
      <c r="AC428" s="1">
        <f>IF(TRIM(sales_dataset[[#This Row],[TotalRevenue]])="",AB430,PROPER(TRIM(sales_dataset[[#This Row],[TotalRevenue]])))</f>
        <v>4500</v>
      </c>
      <c r="AD428" s="1">
        <f>ABS(sales_dataset[[#This Row],[Column5]])</f>
        <v>4500</v>
      </c>
      <c r="AE428" s="1">
        <f>sales_dataset[[#This Row],[Column17]]*sales_dataset[[#This Row],[Column16]]</f>
        <v>0</v>
      </c>
    </row>
    <row r="429" spans="3:31" x14ac:dyDescent="0.3">
      <c r="C429" s="1" t="s">
        <v>25</v>
      </c>
      <c r="F429" s="1" t="s">
        <v>18</v>
      </c>
      <c r="H429" s="1" t="s">
        <v>73</v>
      </c>
      <c r="J429" s="1" t="s">
        <v>80</v>
      </c>
      <c r="K429" s="1" t="str">
        <f>IF(TRIM(sales_dataset[[#This Row],[Region]])="", J431, PROPER(TRIM(sales_dataset[[#This Row],[Region]])))</f>
        <v>East</v>
      </c>
      <c r="N429" s="1" t="s">
        <v>56</v>
      </c>
      <c r="Q429" s="1" t="s">
        <v>82</v>
      </c>
      <c r="R429" s="1" t="str">
        <f>IF(TRIM(sales_dataset[[#This Row],[ProductCategory]])="", R447, PROPER(TRIM(sales_dataset[[#This Row],[ProductCategory]])))</f>
        <v>Electronics</v>
      </c>
      <c r="T429" s="1" t="s">
        <v>87</v>
      </c>
      <c r="W429">
        <f>IF(TRIM(sales_dataset[[#This Row],[Quantity]])="",V435,PROPER(TRIM(sales_dataset[[#This Row],[Quantity]])))</f>
        <v>-1</v>
      </c>
      <c r="Y429">
        <v>500</v>
      </c>
      <c r="Z429" t="str">
        <f>IF(TRIM(sales_dataset[[#This Row],[UnitPrice]])="",Y431,PROPER(TRIM(sales_dataset[[#This Row],[UnitPrice]])))</f>
        <v>500</v>
      </c>
      <c r="AC429" s="1">
        <f>IF(TRIM(sales_dataset[[#This Row],[TotalRevenue]])="",AB431,PROPER(TRIM(sales_dataset[[#This Row],[TotalRevenue]])))</f>
        <v>0</v>
      </c>
      <c r="AD429" s="1">
        <f>ABS(sales_dataset[[#This Row],[Column5]])</f>
        <v>0</v>
      </c>
      <c r="AE429" s="1">
        <f>sales_dataset[[#This Row],[Column17]]*sales_dataset[[#This Row],[Column16]]</f>
        <v>0</v>
      </c>
    </row>
    <row r="430" spans="3:31" x14ac:dyDescent="0.3">
      <c r="C430" s="1" t="s">
        <v>35</v>
      </c>
      <c r="F430" s="1" t="s">
        <v>53</v>
      </c>
      <c r="H430" s="1" t="s">
        <v>147</v>
      </c>
      <c r="J430" s="1" t="s">
        <v>46</v>
      </c>
      <c r="K430" s="1" t="str">
        <f>IF(TRIM(sales_dataset[[#This Row],[Region]])="", J432, PROPER(TRIM(sales_dataset[[#This Row],[Region]])))</f>
        <v>North</v>
      </c>
      <c r="N430" s="1" t="s">
        <v>30</v>
      </c>
      <c r="Q430" s="1" t="s">
        <v>41</v>
      </c>
      <c r="R430" s="1" t="str">
        <f>IF(TRIM(sales_dataset[[#This Row],[ProductCategory]])="", R448, PROPER(TRIM(sales_dataset[[#This Row],[ProductCategory]])))</f>
        <v>Home</v>
      </c>
      <c r="T430" s="1" t="s">
        <v>23</v>
      </c>
      <c r="V430">
        <v>3</v>
      </c>
      <c r="W430" t="str">
        <f>IF(TRIM(sales_dataset[[#This Row],[Quantity]])="",V436,PROPER(TRIM(sales_dataset[[#This Row],[Quantity]])))</f>
        <v>3</v>
      </c>
      <c r="Y430">
        <v>1500</v>
      </c>
      <c r="Z430" t="str">
        <f>IF(TRIM(sales_dataset[[#This Row],[UnitPrice]])="",Y432,PROPER(TRIM(sales_dataset[[#This Row],[UnitPrice]])))</f>
        <v>1500</v>
      </c>
      <c r="AB430">
        <v>4500</v>
      </c>
      <c r="AC430" s="1" t="str">
        <f>IF(TRIM(sales_dataset[[#This Row],[TotalRevenue]])="",AB432,PROPER(TRIM(sales_dataset[[#This Row],[TotalRevenue]])))</f>
        <v>4500</v>
      </c>
      <c r="AD430" s="1">
        <f>ABS(sales_dataset[[#This Row],[Column5]])</f>
        <v>4500</v>
      </c>
      <c r="AE430" s="1">
        <f>sales_dataset[[#This Row],[Column17]]*sales_dataset[[#This Row],[Column16]]</f>
        <v>0</v>
      </c>
    </row>
    <row r="431" spans="3:31" x14ac:dyDescent="0.3">
      <c r="C431" s="1" t="s">
        <v>43</v>
      </c>
      <c r="F431" s="1" t="s">
        <v>53</v>
      </c>
      <c r="H431" s="1" t="s">
        <v>73</v>
      </c>
      <c r="J431" s="1" t="s">
        <v>80</v>
      </c>
      <c r="K431" s="1" t="str">
        <f>IF(TRIM(sales_dataset[[#This Row],[Region]])="", J433, PROPER(TRIM(sales_dataset[[#This Row],[Region]])))</f>
        <v>East</v>
      </c>
      <c r="N431" s="1" t="s">
        <v>19</v>
      </c>
      <c r="Q431" s="1" t="s">
        <v>41</v>
      </c>
      <c r="R431" s="1" t="str">
        <f>IF(TRIM(sales_dataset[[#This Row],[ProductCategory]])="", R449, PROPER(TRIM(sales_dataset[[#This Row],[ProductCategory]])))</f>
        <v>Home</v>
      </c>
      <c r="T431" s="1" t="s">
        <v>87</v>
      </c>
      <c r="W431">
        <f>IF(TRIM(sales_dataset[[#This Row],[Quantity]])="",V437,PROPER(TRIM(sales_dataset[[#This Row],[Quantity]])))</f>
        <v>2</v>
      </c>
      <c r="Y431">
        <v>-100</v>
      </c>
      <c r="Z431" t="str">
        <f>IF(TRIM(sales_dataset[[#This Row],[UnitPrice]])="",Y433,PROPER(TRIM(sales_dataset[[#This Row],[UnitPrice]])))</f>
        <v>-100</v>
      </c>
      <c r="AC431" s="1">
        <f>IF(TRIM(sales_dataset[[#This Row],[TotalRevenue]])="",AB433,PROPER(TRIM(sales_dataset[[#This Row],[TotalRevenue]])))</f>
        <v>500</v>
      </c>
      <c r="AD431" s="1">
        <f>ABS(sales_dataset[[#This Row],[Column5]])</f>
        <v>500</v>
      </c>
      <c r="AE431" s="1">
        <f>sales_dataset[[#This Row],[Column17]]*sales_dataset[[#This Row],[Column16]]</f>
        <v>0</v>
      </c>
    </row>
    <row r="432" spans="3:31" x14ac:dyDescent="0.3">
      <c r="C432" s="1" t="s">
        <v>51</v>
      </c>
      <c r="F432" s="1" t="s">
        <v>53</v>
      </c>
      <c r="H432" s="1" t="s">
        <v>19</v>
      </c>
      <c r="J432" s="1" t="s">
        <v>98</v>
      </c>
      <c r="K432" s="1" t="str">
        <f>IF(TRIM(sales_dataset[[#This Row],[Region]])="", J434, PROPER(TRIM(sales_dataset[[#This Row],[Region]])))</f>
        <v>South</v>
      </c>
      <c r="N432" s="1" t="s">
        <v>48</v>
      </c>
      <c r="Q432" s="1" t="s">
        <v>41</v>
      </c>
      <c r="R432" s="1" t="str">
        <f>IF(TRIM(sales_dataset[[#This Row],[ProductCategory]])="", R450, PROPER(TRIM(sales_dataset[[#This Row],[ProductCategory]])))</f>
        <v>Home</v>
      </c>
      <c r="T432" s="1" t="s">
        <v>76</v>
      </c>
      <c r="V432">
        <v>4</v>
      </c>
      <c r="W432" t="str">
        <f>IF(TRIM(sales_dataset[[#This Row],[Quantity]])="",V438,PROPER(TRIM(sales_dataset[[#This Row],[Quantity]])))</f>
        <v>4</v>
      </c>
      <c r="Z432">
        <f>IF(TRIM(sales_dataset[[#This Row],[UnitPrice]])="",Y434,PROPER(TRIM(sales_dataset[[#This Row],[UnitPrice]])))</f>
        <v>2000</v>
      </c>
      <c r="AC432" s="1">
        <f>IF(TRIM(sales_dataset[[#This Row],[TotalRevenue]])="",AB434,PROPER(TRIM(sales_dataset[[#This Row],[TotalRevenue]])))</f>
        <v>1000</v>
      </c>
      <c r="AD432" s="1">
        <f>ABS(sales_dataset[[#This Row],[Column5]])</f>
        <v>1000</v>
      </c>
      <c r="AE432" s="1">
        <f>sales_dataset[[#This Row],[Column17]]*sales_dataset[[#This Row],[Column16]]</f>
        <v>0</v>
      </c>
    </row>
    <row r="433" spans="3:31" x14ac:dyDescent="0.3">
      <c r="C433" s="1" t="s">
        <v>19</v>
      </c>
      <c r="F433" s="1" t="s">
        <v>118</v>
      </c>
      <c r="H433" s="1" t="s">
        <v>19</v>
      </c>
      <c r="J433" s="1" t="s">
        <v>19</v>
      </c>
      <c r="K433" s="1" t="str">
        <f>IF(TRIM(sales_dataset[[#This Row],[Region]])="", J435, PROPER(TRIM(sales_dataset[[#This Row],[Region]])))</f>
        <v>East</v>
      </c>
      <c r="N433" s="1" t="s">
        <v>39</v>
      </c>
      <c r="Q433" s="1" t="s">
        <v>63</v>
      </c>
      <c r="R433" s="1" t="str">
        <f>IF(TRIM(sales_dataset[[#This Row],[ProductCategory]])="", R451, PROPER(TRIM(sales_dataset[[#This Row],[ProductCategory]])))</f>
        <v>Clothing</v>
      </c>
      <c r="T433" s="1" t="s">
        <v>33</v>
      </c>
      <c r="V433">
        <v>1</v>
      </c>
      <c r="W433" t="str">
        <f>IF(TRIM(sales_dataset[[#This Row],[Quantity]])="",V439,PROPER(TRIM(sales_dataset[[#This Row],[Quantity]])))</f>
        <v>1</v>
      </c>
      <c r="Y433">
        <v>500</v>
      </c>
      <c r="Z433" t="str">
        <f>IF(TRIM(sales_dataset[[#This Row],[UnitPrice]])="",Y435,PROPER(TRIM(sales_dataset[[#This Row],[UnitPrice]])))</f>
        <v>500</v>
      </c>
      <c r="AB433">
        <v>500</v>
      </c>
      <c r="AC433" s="1" t="str">
        <f>IF(TRIM(sales_dataset[[#This Row],[TotalRevenue]])="",AB435,PROPER(TRIM(sales_dataset[[#This Row],[TotalRevenue]])))</f>
        <v>500</v>
      </c>
      <c r="AD433" s="1">
        <f>ABS(sales_dataset[[#This Row],[Column5]])</f>
        <v>500</v>
      </c>
      <c r="AE433" s="1">
        <f>sales_dataset[[#This Row],[Column17]]*sales_dataset[[#This Row],[Column16]]</f>
        <v>0</v>
      </c>
    </row>
    <row r="434" spans="3:31" x14ac:dyDescent="0.3">
      <c r="C434" s="1" t="s">
        <v>16</v>
      </c>
      <c r="F434" s="1" t="s">
        <v>27</v>
      </c>
      <c r="H434" s="1" t="s">
        <v>54</v>
      </c>
      <c r="J434" s="1" t="s">
        <v>37</v>
      </c>
      <c r="K434" s="1" t="str">
        <f>IF(TRIM(sales_dataset[[#This Row],[Region]])="", J436, PROPER(TRIM(sales_dataset[[#This Row],[Region]])))</f>
        <v>North</v>
      </c>
      <c r="N434" s="1" t="s">
        <v>48</v>
      </c>
      <c r="Q434" s="1" t="s">
        <v>63</v>
      </c>
      <c r="R434" s="1" t="str">
        <f>IF(TRIM(sales_dataset[[#This Row],[ProductCategory]])="", R452, PROPER(TRIM(sales_dataset[[#This Row],[ProductCategory]])))</f>
        <v>Clothing</v>
      </c>
      <c r="T434" s="1" t="s">
        <v>33</v>
      </c>
      <c r="V434">
        <v>1</v>
      </c>
      <c r="W434" t="str">
        <f>IF(TRIM(sales_dataset[[#This Row],[Quantity]])="",V440,PROPER(TRIM(sales_dataset[[#This Row],[Quantity]])))</f>
        <v>1</v>
      </c>
      <c r="Y434">
        <v>2000</v>
      </c>
      <c r="Z434" t="str">
        <f>IF(TRIM(sales_dataset[[#This Row],[UnitPrice]])="",Y436,PROPER(TRIM(sales_dataset[[#This Row],[UnitPrice]])))</f>
        <v>2000</v>
      </c>
      <c r="AB434">
        <v>1000</v>
      </c>
      <c r="AC434" s="1" t="str">
        <f>IF(TRIM(sales_dataset[[#This Row],[TotalRevenue]])="",AB436,PROPER(TRIM(sales_dataset[[#This Row],[TotalRevenue]])))</f>
        <v>1000</v>
      </c>
      <c r="AD434" s="1">
        <f>ABS(sales_dataset[[#This Row],[Column5]])</f>
        <v>1000</v>
      </c>
      <c r="AE434" s="1">
        <f>sales_dataset[[#This Row],[Column17]]*sales_dataset[[#This Row],[Column16]]</f>
        <v>0</v>
      </c>
    </row>
    <row r="435" spans="3:31" x14ac:dyDescent="0.3">
      <c r="C435" s="1" t="s">
        <v>25</v>
      </c>
      <c r="F435" s="1" t="s">
        <v>118</v>
      </c>
      <c r="H435" s="1" t="s">
        <v>79</v>
      </c>
      <c r="J435" s="1" t="s">
        <v>80</v>
      </c>
      <c r="K435" s="1" t="str">
        <f>IF(TRIM(sales_dataset[[#This Row],[Region]])="", J437, PROPER(TRIM(sales_dataset[[#This Row],[Region]])))</f>
        <v>East</v>
      </c>
      <c r="N435" s="1" t="s">
        <v>48</v>
      </c>
      <c r="Q435" s="1" t="s">
        <v>32</v>
      </c>
      <c r="R435" s="1" t="str">
        <f>IF(TRIM(sales_dataset[[#This Row],[ProductCategory]])="", R453, PROPER(TRIM(sales_dataset[[#This Row],[ProductCategory]])))</f>
        <v>Electronics</v>
      </c>
      <c r="T435" s="1" t="s">
        <v>76</v>
      </c>
      <c r="V435">
        <v>-1</v>
      </c>
      <c r="W435" t="str">
        <f>IF(TRIM(sales_dataset[[#This Row],[Quantity]])="",V441,PROPER(TRIM(sales_dataset[[#This Row],[Quantity]])))</f>
        <v>-1</v>
      </c>
      <c r="Y435">
        <v>1500</v>
      </c>
      <c r="Z435" t="str">
        <f>IF(TRIM(sales_dataset[[#This Row],[UnitPrice]])="",Y437,PROPER(TRIM(sales_dataset[[#This Row],[UnitPrice]])))</f>
        <v>1500</v>
      </c>
      <c r="AB435">
        <v>-1500</v>
      </c>
      <c r="AC435" s="1" t="str">
        <f>IF(TRIM(sales_dataset[[#This Row],[TotalRevenue]])="",AB437,PROPER(TRIM(sales_dataset[[#This Row],[TotalRevenue]])))</f>
        <v>-1500</v>
      </c>
      <c r="AD435" s="1">
        <f>ABS(sales_dataset[[#This Row],[Column5]])</f>
        <v>1500</v>
      </c>
      <c r="AE435" s="1">
        <f>sales_dataset[[#This Row],[Column17]]*sales_dataset[[#This Row],[Column16]]</f>
        <v>0</v>
      </c>
    </row>
    <row r="436" spans="3:31" x14ac:dyDescent="0.3">
      <c r="C436" s="1" t="s">
        <v>35</v>
      </c>
      <c r="F436" s="1" t="s">
        <v>53</v>
      </c>
      <c r="H436" s="1" t="s">
        <v>73</v>
      </c>
      <c r="J436" s="1" t="s">
        <v>98</v>
      </c>
      <c r="K436" s="1" t="str">
        <f>IF(TRIM(sales_dataset[[#This Row],[Region]])="", J438, PROPER(TRIM(sales_dataset[[#This Row],[Region]])))</f>
        <v>South</v>
      </c>
      <c r="N436" s="1" t="s">
        <v>39</v>
      </c>
      <c r="Q436" s="1" t="s">
        <v>32</v>
      </c>
      <c r="R436" s="1" t="str">
        <f>IF(TRIM(sales_dataset[[#This Row],[ProductCategory]])="", R454, PROPER(TRIM(sales_dataset[[#This Row],[ProductCategory]])))</f>
        <v>Electronics</v>
      </c>
      <c r="T436" s="1" t="s">
        <v>76</v>
      </c>
      <c r="W436">
        <f>IF(TRIM(sales_dataset[[#This Row],[Quantity]])="",V442,PROPER(TRIM(sales_dataset[[#This Row],[Quantity]])))</f>
        <v>0</v>
      </c>
      <c r="Z436">
        <f>IF(TRIM(sales_dataset[[#This Row],[UnitPrice]])="",Y438,PROPER(TRIM(sales_dataset[[#This Row],[UnitPrice]])))</f>
        <v>2000</v>
      </c>
      <c r="AC436" s="1">
        <f>IF(TRIM(sales_dataset[[#This Row],[TotalRevenue]])="",AB438,PROPER(TRIM(sales_dataset[[#This Row],[TotalRevenue]])))</f>
        <v>2000</v>
      </c>
      <c r="AD436" s="1">
        <f>ABS(sales_dataset[[#This Row],[Column5]])</f>
        <v>2000</v>
      </c>
      <c r="AE436" s="1">
        <f>sales_dataset[[#This Row],[Column17]]*sales_dataset[[#This Row],[Column16]]</f>
        <v>0</v>
      </c>
    </row>
    <row r="437" spans="3:31" x14ac:dyDescent="0.3">
      <c r="C437" s="1" t="s">
        <v>43</v>
      </c>
      <c r="F437" s="1" t="s">
        <v>53</v>
      </c>
      <c r="H437" s="1" t="s">
        <v>45</v>
      </c>
      <c r="J437" s="1" t="s">
        <v>19</v>
      </c>
      <c r="K437" s="1" t="str">
        <f>IF(TRIM(sales_dataset[[#This Row],[Region]])="", J439, PROPER(TRIM(sales_dataset[[#This Row],[Region]])))</f>
        <v>NORTH</v>
      </c>
      <c r="N437" s="1" t="s">
        <v>19</v>
      </c>
      <c r="Q437" s="1" t="s">
        <v>41</v>
      </c>
      <c r="R437" s="1" t="str">
        <f>IF(TRIM(sales_dataset[[#This Row],[ProductCategory]])="", R455, PROPER(TRIM(sales_dataset[[#This Row],[ProductCategory]])))</f>
        <v>Home</v>
      </c>
      <c r="T437" s="1" t="s">
        <v>76</v>
      </c>
      <c r="V437">
        <v>2</v>
      </c>
      <c r="W437" t="str">
        <f>IF(TRIM(sales_dataset[[#This Row],[Quantity]])="",V443,PROPER(TRIM(sales_dataset[[#This Row],[Quantity]])))</f>
        <v>2</v>
      </c>
      <c r="Y437">
        <v>1500</v>
      </c>
      <c r="Z437" t="str">
        <f>IF(TRIM(sales_dataset[[#This Row],[UnitPrice]])="",Y439,PROPER(TRIM(sales_dataset[[#This Row],[UnitPrice]])))</f>
        <v>1500</v>
      </c>
      <c r="AB437">
        <v>3000</v>
      </c>
      <c r="AC437" s="1" t="str">
        <f>IF(TRIM(sales_dataset[[#This Row],[TotalRevenue]])="",AB439,PROPER(TRIM(sales_dataset[[#This Row],[TotalRevenue]])))</f>
        <v>3000</v>
      </c>
      <c r="AD437" s="1">
        <f>ABS(sales_dataset[[#This Row],[Column5]])</f>
        <v>3000</v>
      </c>
      <c r="AE437" s="1">
        <f>sales_dataset[[#This Row],[Column17]]*sales_dataset[[#This Row],[Column16]]</f>
        <v>0</v>
      </c>
    </row>
    <row r="438" spans="3:31" x14ac:dyDescent="0.3">
      <c r="C438" s="1" t="s">
        <v>51</v>
      </c>
      <c r="F438" s="1" t="s">
        <v>72</v>
      </c>
      <c r="H438" s="1" t="s">
        <v>79</v>
      </c>
      <c r="J438" s="1" t="s">
        <v>80</v>
      </c>
      <c r="K438" s="1" t="str">
        <f>IF(TRIM(sales_dataset[[#This Row],[Region]])="", J440, PROPER(TRIM(sales_dataset[[#This Row],[Region]])))</f>
        <v>East</v>
      </c>
      <c r="N438" s="1" t="s">
        <v>56</v>
      </c>
      <c r="Q438" s="1" t="s">
        <v>63</v>
      </c>
      <c r="R438" s="1" t="str">
        <f>IF(TRIM(sales_dataset[[#This Row],[ProductCategory]])="", R456, PROPER(TRIM(sales_dataset[[#This Row],[ProductCategory]])))</f>
        <v>Clothing</v>
      </c>
      <c r="T438" s="1" t="s">
        <v>87</v>
      </c>
      <c r="V438">
        <v>1</v>
      </c>
      <c r="W438" t="str">
        <f>IF(TRIM(sales_dataset[[#This Row],[Quantity]])="",V444,PROPER(TRIM(sales_dataset[[#This Row],[Quantity]])))</f>
        <v>1</v>
      </c>
      <c r="Y438">
        <v>2000</v>
      </c>
      <c r="Z438" t="str">
        <f>IF(TRIM(sales_dataset[[#This Row],[UnitPrice]])="",Y440,PROPER(TRIM(sales_dataset[[#This Row],[UnitPrice]])))</f>
        <v>2000</v>
      </c>
      <c r="AB438">
        <v>2000</v>
      </c>
      <c r="AC438" s="1" t="str">
        <f>IF(TRIM(sales_dataset[[#This Row],[TotalRevenue]])="",AB440,PROPER(TRIM(sales_dataset[[#This Row],[TotalRevenue]])))</f>
        <v>2000</v>
      </c>
      <c r="AD438" s="1">
        <f>ABS(sales_dataset[[#This Row],[Column5]])</f>
        <v>2000</v>
      </c>
      <c r="AE438" s="1">
        <f>sales_dataset[[#This Row],[Column17]]*sales_dataset[[#This Row],[Column16]]</f>
        <v>0</v>
      </c>
    </row>
    <row r="439" spans="3:31" x14ac:dyDescent="0.3">
      <c r="C439" s="1" t="s">
        <v>19</v>
      </c>
      <c r="F439" s="1" t="s">
        <v>27</v>
      </c>
      <c r="H439" s="1" t="s">
        <v>28</v>
      </c>
      <c r="J439" s="1" t="s">
        <v>37</v>
      </c>
      <c r="K439" s="1" t="str">
        <f>IF(TRIM(sales_dataset[[#This Row],[Region]])="", J441, PROPER(TRIM(sales_dataset[[#This Row],[Region]])))</f>
        <v>North</v>
      </c>
      <c r="N439" s="1" t="s">
        <v>39</v>
      </c>
      <c r="Q439" s="1" t="s">
        <v>19</v>
      </c>
      <c r="R439" s="1" t="str">
        <f>IF(TRIM(sales_dataset[[#This Row],[ProductCategory]])="", R457, PROPER(TRIM(sales_dataset[[#This Row],[ProductCategory]])))</f>
        <v>Home</v>
      </c>
      <c r="T439" s="1" t="s">
        <v>23</v>
      </c>
      <c r="V439">
        <v>3</v>
      </c>
      <c r="W439" t="str">
        <f>IF(TRIM(sales_dataset[[#This Row],[Quantity]])="",V445,PROPER(TRIM(sales_dataset[[#This Row],[Quantity]])))</f>
        <v>3</v>
      </c>
      <c r="Y439">
        <v>-100</v>
      </c>
      <c r="Z439" t="str">
        <f>IF(TRIM(sales_dataset[[#This Row],[UnitPrice]])="",Y441,PROPER(TRIM(sales_dataset[[#This Row],[UnitPrice]])))</f>
        <v>-100</v>
      </c>
      <c r="AB439">
        <v>-300</v>
      </c>
      <c r="AC439" s="1" t="str">
        <f>IF(TRIM(sales_dataset[[#This Row],[TotalRevenue]])="",AB441,PROPER(TRIM(sales_dataset[[#This Row],[TotalRevenue]])))</f>
        <v>-300</v>
      </c>
      <c r="AD439" s="1">
        <f>ABS(sales_dataset[[#This Row],[Column5]])</f>
        <v>300</v>
      </c>
      <c r="AE439" s="1">
        <f>sales_dataset[[#This Row],[Column17]]*sales_dataset[[#This Row],[Column16]]</f>
        <v>0</v>
      </c>
    </row>
    <row r="440" spans="3:31" x14ac:dyDescent="0.3">
      <c r="C440" s="1" t="s">
        <v>16</v>
      </c>
      <c r="F440" s="1" t="s">
        <v>53</v>
      </c>
      <c r="H440" s="1" t="s">
        <v>73</v>
      </c>
      <c r="J440" s="1" t="s">
        <v>37</v>
      </c>
      <c r="K440" s="1" t="str">
        <f>IF(TRIM(sales_dataset[[#This Row],[Region]])="", J442, PROPER(TRIM(sales_dataset[[#This Row],[Region]])))</f>
        <v>North</v>
      </c>
      <c r="N440" s="1" t="s">
        <v>39</v>
      </c>
      <c r="Q440" s="1" t="s">
        <v>19</v>
      </c>
      <c r="R440" s="1" t="str">
        <f>IF(TRIM(sales_dataset[[#This Row],[ProductCategory]])="", R458, PROPER(TRIM(sales_dataset[[#This Row],[ProductCategory]])))</f>
        <v>Clothing</v>
      </c>
      <c r="T440" s="1" t="s">
        <v>95</v>
      </c>
      <c r="V440">
        <v>3</v>
      </c>
      <c r="W440" t="str">
        <f>IF(TRIM(sales_dataset[[#This Row],[Quantity]])="",V446,PROPER(TRIM(sales_dataset[[#This Row],[Quantity]])))</f>
        <v>3</v>
      </c>
      <c r="Y440">
        <v>-100</v>
      </c>
      <c r="Z440" t="str">
        <f>IF(TRIM(sales_dataset[[#This Row],[UnitPrice]])="",Y442,PROPER(TRIM(sales_dataset[[#This Row],[UnitPrice]])))</f>
        <v>-100</v>
      </c>
      <c r="AB440">
        <v>-300</v>
      </c>
      <c r="AC440" s="1" t="str">
        <f>IF(TRIM(sales_dataset[[#This Row],[TotalRevenue]])="",AB442,PROPER(TRIM(sales_dataset[[#This Row],[TotalRevenue]])))</f>
        <v>-300</v>
      </c>
      <c r="AD440" s="1">
        <f>ABS(sales_dataset[[#This Row],[Column5]])</f>
        <v>300</v>
      </c>
      <c r="AE440" s="1">
        <f>sales_dataset[[#This Row],[Column17]]*sales_dataset[[#This Row],[Column16]]</f>
        <v>0</v>
      </c>
    </row>
    <row r="441" spans="3:31" x14ac:dyDescent="0.3">
      <c r="C441" s="1" t="s">
        <v>25</v>
      </c>
      <c r="F441" s="1" t="s">
        <v>60</v>
      </c>
      <c r="H441" s="1" t="s">
        <v>28</v>
      </c>
      <c r="J441" s="1" t="s">
        <v>46</v>
      </c>
      <c r="K441" s="1" t="str">
        <f>IF(TRIM(sales_dataset[[#This Row],[Region]])="", J443, PROPER(TRIM(sales_dataset[[#This Row],[Region]])))</f>
        <v>North</v>
      </c>
      <c r="N441" s="1" t="s">
        <v>21</v>
      </c>
      <c r="Q441" s="1" t="s">
        <v>41</v>
      </c>
      <c r="R441" s="1" t="str">
        <f>IF(TRIM(sales_dataset[[#This Row],[ProductCategory]])="", R459, PROPER(TRIM(sales_dataset[[#This Row],[ProductCategory]])))</f>
        <v>Home</v>
      </c>
      <c r="T441" s="1" t="s">
        <v>87</v>
      </c>
      <c r="V441">
        <v>-1</v>
      </c>
      <c r="W441" t="str">
        <f>IF(TRIM(sales_dataset[[#This Row],[Quantity]])="",V447,PROPER(TRIM(sales_dataset[[#This Row],[Quantity]])))</f>
        <v>-1</v>
      </c>
      <c r="Y441">
        <v>500</v>
      </c>
      <c r="Z441" t="str">
        <f>IF(TRIM(sales_dataset[[#This Row],[UnitPrice]])="",Y443,PROPER(TRIM(sales_dataset[[#This Row],[UnitPrice]])))</f>
        <v>500</v>
      </c>
      <c r="AB441">
        <v>-500</v>
      </c>
      <c r="AC441" s="1" t="str">
        <f>IF(TRIM(sales_dataset[[#This Row],[TotalRevenue]])="",AB443,PROPER(TRIM(sales_dataset[[#This Row],[TotalRevenue]])))</f>
        <v>-500</v>
      </c>
      <c r="AD441" s="1">
        <f>ABS(sales_dataset[[#This Row],[Column5]])</f>
        <v>500</v>
      </c>
      <c r="AE441" s="1">
        <f>sales_dataset[[#This Row],[Column17]]*sales_dataset[[#This Row],[Column16]]</f>
        <v>0</v>
      </c>
    </row>
    <row r="442" spans="3:31" x14ac:dyDescent="0.3">
      <c r="C442" s="1" t="s">
        <v>35</v>
      </c>
      <c r="F442" s="1" t="s">
        <v>19</v>
      </c>
      <c r="H442" s="1" t="s">
        <v>79</v>
      </c>
      <c r="J442" s="1" t="s">
        <v>37</v>
      </c>
      <c r="K442" s="1" t="str">
        <f>IF(TRIM(sales_dataset[[#This Row],[Region]])="", J444, PROPER(TRIM(sales_dataset[[#This Row],[Region]])))</f>
        <v>North</v>
      </c>
      <c r="N442" s="1" t="s">
        <v>21</v>
      </c>
      <c r="Q442" s="1" t="s">
        <v>63</v>
      </c>
      <c r="R442" s="1" t="str">
        <f>IF(TRIM(sales_dataset[[#This Row],[ProductCategory]])="", R460, PROPER(TRIM(sales_dataset[[#This Row],[ProductCategory]])))</f>
        <v>Clothing</v>
      </c>
      <c r="T442" s="1" t="s">
        <v>95</v>
      </c>
      <c r="W442">
        <f>IF(TRIM(sales_dataset[[#This Row],[Quantity]])="",V448,PROPER(TRIM(sales_dataset[[#This Row],[Quantity]])))</f>
        <v>0</v>
      </c>
      <c r="Y442">
        <v>-100</v>
      </c>
      <c r="Z442" t="str">
        <f>IF(TRIM(sales_dataset[[#This Row],[UnitPrice]])="",Y444,PROPER(TRIM(sales_dataset[[#This Row],[UnitPrice]])))</f>
        <v>-100</v>
      </c>
      <c r="AC442" s="1">
        <f>IF(TRIM(sales_dataset[[#This Row],[TotalRevenue]])="",AB444,PROPER(TRIM(sales_dataset[[#This Row],[TotalRevenue]])))</f>
        <v>1500</v>
      </c>
      <c r="AD442" s="1">
        <f>ABS(sales_dataset[[#This Row],[Column5]])</f>
        <v>1500</v>
      </c>
      <c r="AE442" s="1">
        <f>sales_dataset[[#This Row],[Column17]]*sales_dataset[[#This Row],[Column16]]</f>
        <v>0</v>
      </c>
    </row>
    <row r="443" spans="3:31" x14ac:dyDescent="0.3">
      <c r="C443" s="1" t="s">
        <v>43</v>
      </c>
      <c r="F443" s="1" t="s">
        <v>27</v>
      </c>
      <c r="H443" s="1" t="s">
        <v>147</v>
      </c>
      <c r="J443" s="1" t="s">
        <v>19</v>
      </c>
      <c r="K443" s="1" t="str">
        <f>IF(TRIM(sales_dataset[[#This Row],[Region]])="", J445, PROPER(TRIM(sales_dataset[[#This Row],[Region]])))</f>
        <v>NORTH</v>
      </c>
      <c r="N443" s="1" t="s">
        <v>21</v>
      </c>
      <c r="Q443" s="1" t="s">
        <v>19</v>
      </c>
      <c r="R443" s="1" t="str">
        <f>IF(TRIM(sales_dataset[[#This Row],[ProductCategory]])="", R461, PROPER(TRIM(sales_dataset[[#This Row],[ProductCategory]])))</f>
        <v>Electronics</v>
      </c>
      <c r="T443" s="1" t="s">
        <v>19</v>
      </c>
      <c r="V443">
        <v>-1</v>
      </c>
      <c r="W443" t="str">
        <f>IF(TRIM(sales_dataset[[#This Row],[Quantity]])="",V449,PROPER(TRIM(sales_dataset[[#This Row],[Quantity]])))</f>
        <v>-1</v>
      </c>
      <c r="Y443">
        <v>500</v>
      </c>
      <c r="Z443" t="str">
        <f>IF(TRIM(sales_dataset[[#This Row],[UnitPrice]])="",Y445,PROPER(TRIM(sales_dataset[[#This Row],[UnitPrice]])))</f>
        <v>500</v>
      </c>
      <c r="AB443">
        <v>-500</v>
      </c>
      <c r="AC443" s="1" t="str">
        <f>IF(TRIM(sales_dataset[[#This Row],[TotalRevenue]])="",AB445,PROPER(TRIM(sales_dataset[[#This Row],[TotalRevenue]])))</f>
        <v>-500</v>
      </c>
      <c r="AD443" s="1">
        <f>ABS(sales_dataset[[#This Row],[Column5]])</f>
        <v>500</v>
      </c>
      <c r="AE443" s="1">
        <f>sales_dataset[[#This Row],[Column17]]*sales_dataset[[#This Row],[Column16]]</f>
        <v>0</v>
      </c>
    </row>
    <row r="444" spans="3:31" x14ac:dyDescent="0.3">
      <c r="C444" s="1" t="s">
        <v>51</v>
      </c>
      <c r="F444" s="1" t="s">
        <v>118</v>
      </c>
      <c r="H444" s="1" t="s">
        <v>147</v>
      </c>
      <c r="J444" s="1" t="s">
        <v>98</v>
      </c>
      <c r="K444" s="1" t="str">
        <f>IF(TRIM(sales_dataset[[#This Row],[Region]])="", J446, PROPER(TRIM(sales_dataset[[#This Row],[Region]])))</f>
        <v>South</v>
      </c>
      <c r="N444" s="1" t="s">
        <v>56</v>
      </c>
      <c r="Q444" s="1" t="s">
        <v>63</v>
      </c>
      <c r="R444" s="1" t="str">
        <f>IF(TRIM(sales_dataset[[#This Row],[ProductCategory]])="", R462, PROPER(TRIM(sales_dataset[[#This Row],[ProductCategory]])))</f>
        <v>Clothing</v>
      </c>
      <c r="T444" s="1" t="s">
        <v>69</v>
      </c>
      <c r="V444">
        <v>3</v>
      </c>
      <c r="W444" t="str">
        <f>IF(TRIM(sales_dataset[[#This Row],[Quantity]])="",V450,PROPER(TRIM(sales_dataset[[#This Row],[Quantity]])))</f>
        <v>3</v>
      </c>
      <c r="Y444">
        <v>500</v>
      </c>
      <c r="Z444" t="str">
        <f>IF(TRIM(sales_dataset[[#This Row],[UnitPrice]])="",Y446,PROPER(TRIM(sales_dataset[[#This Row],[UnitPrice]])))</f>
        <v>500</v>
      </c>
      <c r="AB444">
        <v>1500</v>
      </c>
      <c r="AC444" s="1" t="str">
        <f>IF(TRIM(sales_dataset[[#This Row],[TotalRevenue]])="",AB446,PROPER(TRIM(sales_dataset[[#This Row],[TotalRevenue]])))</f>
        <v>1500</v>
      </c>
      <c r="AD444" s="1">
        <f>ABS(sales_dataset[[#This Row],[Column5]])</f>
        <v>1500</v>
      </c>
      <c r="AE444" s="1">
        <f>sales_dataset[[#This Row],[Column17]]*sales_dataset[[#This Row],[Column16]]</f>
        <v>0</v>
      </c>
    </row>
    <row r="445" spans="3:31" x14ac:dyDescent="0.3">
      <c r="C445" s="1" t="s">
        <v>19</v>
      </c>
      <c r="F445" s="1" t="s">
        <v>27</v>
      </c>
      <c r="H445" s="1" t="s">
        <v>45</v>
      </c>
      <c r="J445" s="1" t="s">
        <v>37</v>
      </c>
      <c r="K445" s="1" t="str">
        <f>IF(TRIM(sales_dataset[[#This Row],[Region]])="", J447, PROPER(TRIM(sales_dataset[[#This Row],[Region]])))</f>
        <v>North</v>
      </c>
      <c r="N445" s="1" t="s">
        <v>39</v>
      </c>
      <c r="Q445" s="1" t="s">
        <v>32</v>
      </c>
      <c r="R445" s="1" t="str">
        <f>IF(TRIM(sales_dataset[[#This Row],[ProductCategory]])="", R463, PROPER(TRIM(sales_dataset[[#This Row],[ProductCategory]])))</f>
        <v>Electronics</v>
      </c>
      <c r="T445" s="1" t="s">
        <v>33</v>
      </c>
      <c r="V445">
        <v>5</v>
      </c>
      <c r="W445" t="str">
        <f>IF(TRIM(sales_dataset[[#This Row],[Quantity]])="",V451,PROPER(TRIM(sales_dataset[[#This Row],[Quantity]])))</f>
        <v>5</v>
      </c>
      <c r="Z445">
        <f>IF(TRIM(sales_dataset[[#This Row],[UnitPrice]])="",Y447,PROPER(TRIM(sales_dataset[[#This Row],[UnitPrice]])))</f>
        <v>500</v>
      </c>
      <c r="AC445" s="1">
        <f>IF(TRIM(sales_dataset[[#This Row],[TotalRevenue]])="",AB447,PROPER(TRIM(sales_dataset[[#This Row],[TotalRevenue]])))</f>
        <v>1500</v>
      </c>
      <c r="AD445" s="1">
        <f>ABS(sales_dataset[[#This Row],[Column5]])</f>
        <v>1500</v>
      </c>
      <c r="AE445" s="1">
        <f>sales_dataset[[#This Row],[Column17]]*sales_dataset[[#This Row],[Column16]]</f>
        <v>0</v>
      </c>
    </row>
    <row r="446" spans="3:31" x14ac:dyDescent="0.3">
      <c r="C446" s="1" t="s">
        <v>16</v>
      </c>
      <c r="F446" s="1" t="s">
        <v>18</v>
      </c>
      <c r="H446" s="1" t="s">
        <v>45</v>
      </c>
      <c r="J446" s="1" t="s">
        <v>37</v>
      </c>
      <c r="K446" s="1" t="str">
        <f>IF(TRIM(sales_dataset[[#This Row],[Region]])="", J448, PROPER(TRIM(sales_dataset[[#This Row],[Region]])))</f>
        <v>North</v>
      </c>
      <c r="N446" s="1" t="s">
        <v>30</v>
      </c>
      <c r="Q446" s="1" t="s">
        <v>41</v>
      </c>
      <c r="R446" s="1" t="str">
        <f>IF(TRIM(sales_dataset[[#This Row],[ProductCategory]])="", R464, PROPER(TRIM(sales_dataset[[#This Row],[ProductCategory]])))</f>
        <v>Home</v>
      </c>
      <c r="T446" s="1" t="s">
        <v>87</v>
      </c>
      <c r="V446">
        <v>5</v>
      </c>
      <c r="W446" t="str">
        <f>IF(TRIM(sales_dataset[[#This Row],[Quantity]])="",V452,PROPER(TRIM(sales_dataset[[#This Row],[Quantity]])))</f>
        <v>5</v>
      </c>
      <c r="Y446">
        <v>-100</v>
      </c>
      <c r="Z446" t="str">
        <f>IF(TRIM(sales_dataset[[#This Row],[UnitPrice]])="",Y448,PROPER(TRIM(sales_dataset[[#This Row],[UnitPrice]])))</f>
        <v>-100</v>
      </c>
      <c r="AB446">
        <v>-500</v>
      </c>
      <c r="AC446" s="1" t="str">
        <f>IF(TRIM(sales_dataset[[#This Row],[TotalRevenue]])="",AB448,PROPER(TRIM(sales_dataset[[#This Row],[TotalRevenue]])))</f>
        <v>-500</v>
      </c>
      <c r="AD446" s="1">
        <f>ABS(sales_dataset[[#This Row],[Column5]])</f>
        <v>500</v>
      </c>
      <c r="AE446" s="1">
        <f>sales_dataset[[#This Row],[Column17]]*sales_dataset[[#This Row],[Column16]]</f>
        <v>0</v>
      </c>
    </row>
    <row r="447" spans="3:31" x14ac:dyDescent="0.3">
      <c r="C447" s="1" t="s">
        <v>25</v>
      </c>
      <c r="F447" s="1" t="s">
        <v>60</v>
      </c>
      <c r="H447" s="1" t="s">
        <v>45</v>
      </c>
      <c r="J447" s="1" t="s">
        <v>98</v>
      </c>
      <c r="K447" s="1" t="str">
        <f>IF(TRIM(sales_dataset[[#This Row],[Region]])="", J449, PROPER(TRIM(sales_dataset[[#This Row],[Region]])))</f>
        <v>South</v>
      </c>
      <c r="N447" s="1" t="s">
        <v>39</v>
      </c>
      <c r="Q447" s="1" t="s">
        <v>41</v>
      </c>
      <c r="R447" s="1" t="str">
        <f>IF(TRIM(sales_dataset[[#This Row],[ProductCategory]])="", R465, PROPER(TRIM(sales_dataset[[#This Row],[ProductCategory]])))</f>
        <v>Home</v>
      </c>
      <c r="T447" s="1" t="s">
        <v>87</v>
      </c>
      <c r="V447">
        <v>3</v>
      </c>
      <c r="W447" t="str">
        <f>IF(TRIM(sales_dataset[[#This Row],[Quantity]])="",V453,PROPER(TRIM(sales_dataset[[#This Row],[Quantity]])))</f>
        <v>3</v>
      </c>
      <c r="Y447">
        <v>500</v>
      </c>
      <c r="Z447" t="str">
        <f>IF(TRIM(sales_dataset[[#This Row],[UnitPrice]])="",Y449,PROPER(TRIM(sales_dataset[[#This Row],[UnitPrice]])))</f>
        <v>500</v>
      </c>
      <c r="AB447">
        <v>1500</v>
      </c>
      <c r="AC447" s="1" t="str">
        <f>IF(TRIM(sales_dataset[[#This Row],[TotalRevenue]])="",AB449,PROPER(TRIM(sales_dataset[[#This Row],[TotalRevenue]])))</f>
        <v>1500</v>
      </c>
      <c r="AD447" s="1">
        <f>ABS(sales_dataset[[#This Row],[Column5]])</f>
        <v>1500</v>
      </c>
      <c r="AE447" s="1">
        <f>sales_dataset[[#This Row],[Column17]]*sales_dataset[[#This Row],[Column16]]</f>
        <v>0</v>
      </c>
    </row>
    <row r="448" spans="3:31" x14ac:dyDescent="0.3">
      <c r="C448" s="1" t="s">
        <v>35</v>
      </c>
      <c r="F448" s="1" t="s">
        <v>53</v>
      </c>
      <c r="H448" s="1" t="s">
        <v>28</v>
      </c>
      <c r="J448" s="1" t="s">
        <v>98</v>
      </c>
      <c r="K448" s="1" t="str">
        <f>IF(TRIM(sales_dataset[[#This Row],[Region]])="", J450, PROPER(TRIM(sales_dataset[[#This Row],[Region]])))</f>
        <v>South</v>
      </c>
      <c r="N448" s="1" t="s">
        <v>56</v>
      </c>
      <c r="Q448" s="1" t="s">
        <v>63</v>
      </c>
      <c r="R448" s="1" t="str">
        <f>IF(TRIM(sales_dataset[[#This Row],[ProductCategory]])="", R466, PROPER(TRIM(sales_dataset[[#This Row],[ProductCategory]])))</f>
        <v>Clothing</v>
      </c>
      <c r="T448" s="1" t="s">
        <v>69</v>
      </c>
      <c r="W448">
        <f>IF(TRIM(sales_dataset[[#This Row],[Quantity]])="",V454,PROPER(TRIM(sales_dataset[[#This Row],[Quantity]])))</f>
        <v>-1</v>
      </c>
      <c r="Z448">
        <f>IF(TRIM(sales_dataset[[#This Row],[UnitPrice]])="",Y450,PROPER(TRIM(sales_dataset[[#This Row],[UnitPrice]])))</f>
        <v>2500</v>
      </c>
      <c r="AC448" s="1">
        <f>IF(TRIM(sales_dataset[[#This Row],[TotalRevenue]])="",AB450,PROPER(TRIM(sales_dataset[[#This Row],[TotalRevenue]])))</f>
        <v>2500</v>
      </c>
      <c r="AD448" s="1">
        <f>ABS(sales_dataset[[#This Row],[Column5]])</f>
        <v>2500</v>
      </c>
      <c r="AE448" s="1">
        <f>sales_dataset[[#This Row],[Column17]]*sales_dataset[[#This Row],[Column16]]</f>
        <v>0</v>
      </c>
    </row>
    <row r="449" spans="3:31" x14ac:dyDescent="0.3">
      <c r="C449" s="1" t="s">
        <v>43</v>
      </c>
      <c r="F449" s="1" t="s">
        <v>18</v>
      </c>
      <c r="H449" s="1" t="s">
        <v>54</v>
      </c>
      <c r="J449" s="1" t="s">
        <v>19</v>
      </c>
      <c r="K449" s="1" t="str">
        <f>IF(TRIM(sales_dataset[[#This Row],[Region]])="", J451, PROPER(TRIM(sales_dataset[[#This Row],[Region]])))</f>
        <v/>
      </c>
      <c r="N449" s="1" t="s">
        <v>21</v>
      </c>
      <c r="Q449" s="1" t="s">
        <v>63</v>
      </c>
      <c r="R449" s="1" t="str">
        <f>IF(TRIM(sales_dataset[[#This Row],[ProductCategory]])="", R467, PROPER(TRIM(sales_dataset[[#This Row],[ProductCategory]])))</f>
        <v>Clothing</v>
      </c>
      <c r="T449" s="1" t="s">
        <v>87</v>
      </c>
      <c r="V449">
        <v>1</v>
      </c>
      <c r="W449" t="str">
        <f>IF(TRIM(sales_dataset[[#This Row],[Quantity]])="",V455,PROPER(TRIM(sales_dataset[[#This Row],[Quantity]])))</f>
        <v>1</v>
      </c>
      <c r="Z449">
        <f>IF(TRIM(sales_dataset[[#This Row],[UnitPrice]])="",Y451,PROPER(TRIM(sales_dataset[[#This Row],[UnitPrice]])))</f>
        <v>0</v>
      </c>
      <c r="AC449" s="1">
        <f>IF(TRIM(sales_dataset[[#This Row],[TotalRevenue]])="",AB451,PROPER(TRIM(sales_dataset[[#This Row],[TotalRevenue]])))</f>
        <v>0</v>
      </c>
      <c r="AD449" s="1">
        <f>ABS(sales_dataset[[#This Row],[Column5]])</f>
        <v>0</v>
      </c>
      <c r="AE449" s="1">
        <f>sales_dataset[[#This Row],[Column17]]*sales_dataset[[#This Row],[Column16]]</f>
        <v>0</v>
      </c>
    </row>
    <row r="450" spans="3:31" x14ac:dyDescent="0.3">
      <c r="C450" s="1" t="s">
        <v>51</v>
      </c>
      <c r="F450" s="1" t="s">
        <v>72</v>
      </c>
      <c r="H450" s="1" t="s">
        <v>54</v>
      </c>
      <c r="J450" s="1" t="s">
        <v>37</v>
      </c>
      <c r="K450" s="1" t="str">
        <f>IF(TRIM(sales_dataset[[#This Row],[Region]])="", J452, PROPER(TRIM(sales_dataset[[#This Row],[Region]])))</f>
        <v>North</v>
      </c>
      <c r="N450" s="1" t="s">
        <v>56</v>
      </c>
      <c r="Q450" s="1" t="s">
        <v>82</v>
      </c>
      <c r="R450" s="1" t="str">
        <f>IF(TRIM(sales_dataset[[#This Row],[ProductCategory]])="", R468, PROPER(TRIM(sales_dataset[[#This Row],[ProductCategory]])))</f>
        <v>Electronics</v>
      </c>
      <c r="T450" s="1" t="s">
        <v>95</v>
      </c>
      <c r="V450">
        <v>1</v>
      </c>
      <c r="W450" t="str">
        <f>IF(TRIM(sales_dataset[[#This Row],[Quantity]])="",V456,PROPER(TRIM(sales_dataset[[#This Row],[Quantity]])))</f>
        <v>1</v>
      </c>
      <c r="Y450">
        <v>2500</v>
      </c>
      <c r="Z450" t="str">
        <f>IF(TRIM(sales_dataset[[#This Row],[UnitPrice]])="",Y452,PROPER(TRIM(sales_dataset[[#This Row],[UnitPrice]])))</f>
        <v>2500</v>
      </c>
      <c r="AB450">
        <v>2500</v>
      </c>
      <c r="AC450" s="1" t="str">
        <f>IF(TRIM(sales_dataset[[#This Row],[TotalRevenue]])="",AB452,PROPER(TRIM(sales_dataset[[#This Row],[TotalRevenue]])))</f>
        <v>2500</v>
      </c>
      <c r="AD450" s="1">
        <f>ABS(sales_dataset[[#This Row],[Column5]])</f>
        <v>2500</v>
      </c>
      <c r="AE450" s="1">
        <f>sales_dataset[[#This Row],[Column17]]*sales_dataset[[#This Row],[Column16]]</f>
        <v>0</v>
      </c>
    </row>
    <row r="451" spans="3:31" x14ac:dyDescent="0.3">
      <c r="C451" s="1" t="s">
        <v>19</v>
      </c>
      <c r="F451" s="1" t="s">
        <v>27</v>
      </c>
      <c r="H451" s="1" t="s">
        <v>54</v>
      </c>
      <c r="J451" s="1" t="s">
        <v>19</v>
      </c>
      <c r="K451" s="1" t="str">
        <f>IF(TRIM(sales_dataset[[#This Row],[Region]])="", J453, PROPER(TRIM(sales_dataset[[#This Row],[Region]])))</f>
        <v>East</v>
      </c>
      <c r="N451" s="1" t="s">
        <v>21</v>
      </c>
      <c r="Q451" s="1" t="s">
        <v>19</v>
      </c>
      <c r="R451" s="1" t="str">
        <f>IF(TRIM(sales_dataset[[#This Row],[ProductCategory]])="", R469, PROPER(TRIM(sales_dataset[[#This Row],[ProductCategory]])))</f>
        <v>Clothing</v>
      </c>
      <c r="T451" s="1" t="s">
        <v>87</v>
      </c>
      <c r="V451">
        <v>2</v>
      </c>
      <c r="W451" t="str">
        <f>IF(TRIM(sales_dataset[[#This Row],[Quantity]])="",V457,PROPER(TRIM(sales_dataset[[#This Row],[Quantity]])))</f>
        <v>2</v>
      </c>
      <c r="Z451">
        <f>IF(TRIM(sales_dataset[[#This Row],[UnitPrice]])="",Y453,PROPER(TRIM(sales_dataset[[#This Row],[UnitPrice]])))</f>
        <v>500</v>
      </c>
      <c r="AC451" s="1">
        <f>IF(TRIM(sales_dataset[[#This Row],[TotalRevenue]])="",AB453,PROPER(TRIM(sales_dataset[[#This Row],[TotalRevenue]])))</f>
        <v>1000</v>
      </c>
      <c r="AD451" s="1">
        <f>ABS(sales_dataset[[#This Row],[Column5]])</f>
        <v>1000</v>
      </c>
      <c r="AE451" s="1">
        <f>sales_dataset[[#This Row],[Column17]]*sales_dataset[[#This Row],[Column16]]</f>
        <v>0</v>
      </c>
    </row>
    <row r="452" spans="3:31" x14ac:dyDescent="0.3">
      <c r="C452" s="1" t="s">
        <v>16</v>
      </c>
      <c r="F452" s="1" t="s">
        <v>27</v>
      </c>
      <c r="H452" s="1" t="s">
        <v>147</v>
      </c>
      <c r="J452" s="1" t="s">
        <v>37</v>
      </c>
      <c r="K452" s="1" t="str">
        <f>IF(TRIM(sales_dataset[[#This Row],[Region]])="", J454, PROPER(TRIM(sales_dataset[[#This Row],[Region]])))</f>
        <v>North</v>
      </c>
      <c r="N452" s="1" t="s">
        <v>56</v>
      </c>
      <c r="Q452" s="1" t="s">
        <v>32</v>
      </c>
      <c r="R452" s="1" t="str">
        <f>IF(TRIM(sales_dataset[[#This Row],[ProductCategory]])="", R470, PROPER(TRIM(sales_dataset[[#This Row],[ProductCategory]])))</f>
        <v>Electronics</v>
      </c>
      <c r="T452" s="1" t="s">
        <v>19</v>
      </c>
      <c r="V452">
        <v>4</v>
      </c>
      <c r="W452" t="str">
        <f>IF(TRIM(sales_dataset[[#This Row],[Quantity]])="",V458,PROPER(TRIM(sales_dataset[[#This Row],[Quantity]])))</f>
        <v>4</v>
      </c>
      <c r="Y452">
        <v>1500</v>
      </c>
      <c r="Z452" t="str">
        <f>IF(TRIM(sales_dataset[[#This Row],[UnitPrice]])="",Y454,PROPER(TRIM(sales_dataset[[#This Row],[UnitPrice]])))</f>
        <v>1500</v>
      </c>
      <c r="AB452">
        <v>3000</v>
      </c>
      <c r="AC452" s="1" t="str">
        <f>IF(TRIM(sales_dataset[[#This Row],[TotalRevenue]])="",AB454,PROPER(TRIM(sales_dataset[[#This Row],[TotalRevenue]])))</f>
        <v>3000</v>
      </c>
      <c r="AD452" s="1">
        <f>ABS(sales_dataset[[#This Row],[Column5]])</f>
        <v>3000</v>
      </c>
      <c r="AE452" s="1">
        <f>sales_dataset[[#This Row],[Column17]]*sales_dataset[[#This Row],[Column16]]</f>
        <v>0</v>
      </c>
    </row>
    <row r="453" spans="3:31" x14ac:dyDescent="0.3">
      <c r="C453" s="1" t="s">
        <v>25</v>
      </c>
      <c r="F453" s="1" t="s">
        <v>72</v>
      </c>
      <c r="H453" s="1" t="s">
        <v>147</v>
      </c>
      <c r="J453" s="1" t="s">
        <v>80</v>
      </c>
      <c r="K453" s="1" t="str">
        <f>IF(TRIM(sales_dataset[[#This Row],[Region]])="", J455, PROPER(TRIM(sales_dataset[[#This Row],[Region]])))</f>
        <v>East</v>
      </c>
      <c r="N453" s="1" t="s">
        <v>30</v>
      </c>
      <c r="Q453" s="1" t="s">
        <v>19</v>
      </c>
      <c r="R453" s="1" t="str">
        <f>IF(TRIM(sales_dataset[[#This Row],[ProductCategory]])="", R471, PROPER(TRIM(sales_dataset[[#This Row],[ProductCategory]])))</f>
        <v>Home</v>
      </c>
      <c r="T453" s="1" t="s">
        <v>76</v>
      </c>
      <c r="V453">
        <v>2</v>
      </c>
      <c r="W453" t="str">
        <f>IF(TRIM(sales_dataset[[#This Row],[Quantity]])="",V459,PROPER(TRIM(sales_dataset[[#This Row],[Quantity]])))</f>
        <v>2</v>
      </c>
      <c r="Y453">
        <v>500</v>
      </c>
      <c r="Z453" t="str">
        <f>IF(TRIM(sales_dataset[[#This Row],[UnitPrice]])="",Y455,PROPER(TRIM(sales_dataset[[#This Row],[UnitPrice]])))</f>
        <v>500</v>
      </c>
      <c r="AB453">
        <v>1000</v>
      </c>
      <c r="AC453" s="1" t="str">
        <f>IF(TRIM(sales_dataset[[#This Row],[TotalRevenue]])="",AB455,PROPER(TRIM(sales_dataset[[#This Row],[TotalRevenue]])))</f>
        <v>1000</v>
      </c>
      <c r="AD453" s="1">
        <f>ABS(sales_dataset[[#This Row],[Column5]])</f>
        <v>1000</v>
      </c>
      <c r="AE453" s="1">
        <f>sales_dataset[[#This Row],[Column17]]*sales_dataset[[#This Row],[Column16]]</f>
        <v>0</v>
      </c>
    </row>
    <row r="454" spans="3:31" x14ac:dyDescent="0.3">
      <c r="C454" s="1" t="s">
        <v>35</v>
      </c>
      <c r="F454" s="1" t="s">
        <v>19</v>
      </c>
      <c r="H454" s="1" t="s">
        <v>19</v>
      </c>
      <c r="J454" s="1" t="s">
        <v>37</v>
      </c>
      <c r="K454" s="1" t="str">
        <f>IF(TRIM(sales_dataset[[#This Row],[Region]])="", J456, PROPER(TRIM(sales_dataset[[#This Row],[Region]])))</f>
        <v>North</v>
      </c>
      <c r="N454" s="1" t="s">
        <v>21</v>
      </c>
      <c r="Q454" s="1" t="s">
        <v>82</v>
      </c>
      <c r="R454" s="1" t="str">
        <f>IF(TRIM(sales_dataset[[#This Row],[ProductCategory]])="", R472, PROPER(TRIM(sales_dataset[[#This Row],[ProductCategory]])))</f>
        <v>Electronics</v>
      </c>
      <c r="T454" s="1" t="s">
        <v>87</v>
      </c>
      <c r="V454">
        <v>-1</v>
      </c>
      <c r="W454" t="str">
        <f>IF(TRIM(sales_dataset[[#This Row],[Quantity]])="",V460,PROPER(TRIM(sales_dataset[[#This Row],[Quantity]])))</f>
        <v>-1</v>
      </c>
      <c r="Z454">
        <f>IF(TRIM(sales_dataset[[#This Row],[UnitPrice]])="",Y456,PROPER(TRIM(sales_dataset[[#This Row],[UnitPrice]])))</f>
        <v>0</v>
      </c>
      <c r="AC454" s="1">
        <f>IF(TRIM(sales_dataset[[#This Row],[TotalRevenue]])="",AB456,PROPER(TRIM(sales_dataset[[#This Row],[TotalRevenue]])))</f>
        <v>0</v>
      </c>
      <c r="AD454" s="1">
        <f>ABS(sales_dataset[[#This Row],[Column5]])</f>
        <v>0</v>
      </c>
      <c r="AE454" s="1">
        <f>sales_dataset[[#This Row],[Column17]]*sales_dataset[[#This Row],[Column16]]</f>
        <v>0</v>
      </c>
    </row>
    <row r="455" spans="3:31" x14ac:dyDescent="0.3">
      <c r="C455" s="1" t="s">
        <v>43</v>
      </c>
      <c r="F455" s="1" t="s">
        <v>18</v>
      </c>
      <c r="H455" s="1" t="s">
        <v>54</v>
      </c>
      <c r="J455" s="1" t="s">
        <v>46</v>
      </c>
      <c r="K455" s="1" t="str">
        <f>IF(TRIM(sales_dataset[[#This Row],[Region]])="", J457, PROPER(TRIM(sales_dataset[[#This Row],[Region]])))</f>
        <v>North</v>
      </c>
      <c r="N455" s="1" t="s">
        <v>21</v>
      </c>
      <c r="Q455" s="1" t="s">
        <v>63</v>
      </c>
      <c r="R455" s="1" t="str">
        <f>IF(TRIM(sales_dataset[[#This Row],[ProductCategory]])="", R473, PROPER(TRIM(sales_dataset[[#This Row],[ProductCategory]])))</f>
        <v>Clothing</v>
      </c>
      <c r="T455" s="1" t="s">
        <v>33</v>
      </c>
      <c r="W455">
        <f>IF(TRIM(sales_dataset[[#This Row],[Quantity]])="",V461,PROPER(TRIM(sales_dataset[[#This Row],[Quantity]])))</f>
        <v>5</v>
      </c>
      <c r="Y455">
        <v>2000</v>
      </c>
      <c r="Z455" t="str">
        <f>IF(TRIM(sales_dataset[[#This Row],[UnitPrice]])="",Y457,PROPER(TRIM(sales_dataset[[#This Row],[UnitPrice]])))</f>
        <v>2000</v>
      </c>
      <c r="AC455" s="1">
        <f>IF(TRIM(sales_dataset[[#This Row],[TotalRevenue]])="",AB457,PROPER(TRIM(sales_dataset[[#This Row],[TotalRevenue]])))</f>
        <v>0</v>
      </c>
      <c r="AD455" s="1">
        <f>ABS(sales_dataset[[#This Row],[Column5]])</f>
        <v>0</v>
      </c>
      <c r="AE455" s="1">
        <f>sales_dataset[[#This Row],[Column17]]*sales_dataset[[#This Row],[Column16]]</f>
        <v>0</v>
      </c>
    </row>
    <row r="456" spans="3:31" x14ac:dyDescent="0.3">
      <c r="C456" s="1" t="s">
        <v>51</v>
      </c>
      <c r="F456" s="1" t="s">
        <v>60</v>
      </c>
      <c r="H456" s="1" t="s">
        <v>79</v>
      </c>
      <c r="J456" s="1" t="s">
        <v>46</v>
      </c>
      <c r="K456" s="1" t="str">
        <f>IF(TRIM(sales_dataset[[#This Row],[Region]])="", J458, PROPER(TRIM(sales_dataset[[#This Row],[Region]])))</f>
        <v>North</v>
      </c>
      <c r="N456" s="1" t="s">
        <v>39</v>
      </c>
      <c r="Q456" s="1" t="s">
        <v>19</v>
      </c>
      <c r="R456" s="1" t="str">
        <f>IF(TRIM(sales_dataset[[#This Row],[ProductCategory]])="", R474, PROPER(TRIM(sales_dataset[[#This Row],[ProductCategory]])))</f>
        <v>Home</v>
      </c>
      <c r="T456" s="1" t="s">
        <v>95</v>
      </c>
      <c r="W456">
        <f>IF(TRIM(sales_dataset[[#This Row],[Quantity]])="",V462,PROPER(TRIM(sales_dataset[[#This Row],[Quantity]])))</f>
        <v>2</v>
      </c>
      <c r="Z456">
        <f>IF(TRIM(sales_dataset[[#This Row],[UnitPrice]])="",Y458,PROPER(TRIM(sales_dataset[[#This Row],[UnitPrice]])))</f>
        <v>2500</v>
      </c>
      <c r="AC456" s="1">
        <f>IF(TRIM(sales_dataset[[#This Row],[TotalRevenue]])="",AB458,PROPER(TRIM(sales_dataset[[#This Row],[TotalRevenue]])))</f>
        <v>10000</v>
      </c>
      <c r="AD456" s="1">
        <f>ABS(sales_dataset[[#This Row],[Column5]])</f>
        <v>10000</v>
      </c>
      <c r="AE456" s="1">
        <f>sales_dataset[[#This Row],[Column17]]*sales_dataset[[#This Row],[Column16]]</f>
        <v>0</v>
      </c>
    </row>
    <row r="457" spans="3:31" x14ac:dyDescent="0.3">
      <c r="C457" s="1" t="s">
        <v>19</v>
      </c>
      <c r="F457" s="1" t="s">
        <v>53</v>
      </c>
      <c r="H457" s="1" t="s">
        <v>45</v>
      </c>
      <c r="J457" s="1" t="s">
        <v>46</v>
      </c>
      <c r="K457" s="1" t="str">
        <f>IF(TRIM(sales_dataset[[#This Row],[Region]])="", J459, PROPER(TRIM(sales_dataset[[#This Row],[Region]])))</f>
        <v>North</v>
      </c>
      <c r="N457" s="1" t="s">
        <v>19</v>
      </c>
      <c r="Q457" s="1" t="s">
        <v>41</v>
      </c>
      <c r="R457" s="1" t="str">
        <f>IF(TRIM(sales_dataset[[#This Row],[ProductCategory]])="", R475, PROPER(TRIM(sales_dataset[[#This Row],[ProductCategory]])))</f>
        <v>Home</v>
      </c>
      <c r="T457" s="1" t="s">
        <v>33</v>
      </c>
      <c r="W457">
        <f>IF(TRIM(sales_dataset[[#This Row],[Quantity]])="",V463,PROPER(TRIM(sales_dataset[[#This Row],[Quantity]])))</f>
        <v>2</v>
      </c>
      <c r="Z457">
        <f>IF(TRIM(sales_dataset[[#This Row],[UnitPrice]])="",Y459,PROPER(TRIM(sales_dataset[[#This Row],[UnitPrice]])))</f>
        <v>-100</v>
      </c>
      <c r="AC457" s="1">
        <f>IF(TRIM(sales_dataset[[#This Row],[TotalRevenue]])="",AB459,PROPER(TRIM(sales_dataset[[#This Row],[TotalRevenue]])))</f>
        <v>-100</v>
      </c>
      <c r="AD457" s="1">
        <f>ABS(sales_dataset[[#This Row],[Column5]])</f>
        <v>100</v>
      </c>
      <c r="AE457" s="1">
        <f>sales_dataset[[#This Row],[Column17]]*sales_dataset[[#This Row],[Column16]]</f>
        <v>0</v>
      </c>
    </row>
    <row r="458" spans="3:31" x14ac:dyDescent="0.3">
      <c r="C458" s="1" t="s">
        <v>16</v>
      </c>
      <c r="F458" s="1" t="s">
        <v>18</v>
      </c>
      <c r="H458" s="1" t="s">
        <v>73</v>
      </c>
      <c r="J458" s="1" t="s">
        <v>46</v>
      </c>
      <c r="K458" s="1" t="str">
        <f>IF(TRIM(sales_dataset[[#This Row],[Region]])="", J460, PROPER(TRIM(sales_dataset[[#This Row],[Region]])))</f>
        <v>North</v>
      </c>
      <c r="N458" s="1" t="s">
        <v>19</v>
      </c>
      <c r="Q458" s="1" t="s">
        <v>19</v>
      </c>
      <c r="R458" s="1" t="str">
        <f>IF(TRIM(sales_dataset[[#This Row],[ProductCategory]])="", R476, PROPER(TRIM(sales_dataset[[#This Row],[ProductCategory]])))</f>
        <v>Clothing</v>
      </c>
      <c r="T458" s="1" t="s">
        <v>19</v>
      </c>
      <c r="V458">
        <v>4</v>
      </c>
      <c r="W458" t="str">
        <f>IF(TRIM(sales_dataset[[#This Row],[Quantity]])="",V464,PROPER(TRIM(sales_dataset[[#This Row],[Quantity]])))</f>
        <v>4</v>
      </c>
      <c r="Y458">
        <v>2500</v>
      </c>
      <c r="Z458" t="str">
        <f>IF(TRIM(sales_dataset[[#This Row],[UnitPrice]])="",Y460,PROPER(TRIM(sales_dataset[[#This Row],[UnitPrice]])))</f>
        <v>2500</v>
      </c>
      <c r="AB458">
        <v>10000</v>
      </c>
      <c r="AC458" s="1" t="str">
        <f>IF(TRIM(sales_dataset[[#This Row],[TotalRevenue]])="",AB460,PROPER(TRIM(sales_dataset[[#This Row],[TotalRevenue]])))</f>
        <v>10000</v>
      </c>
      <c r="AD458" s="1">
        <f>ABS(sales_dataset[[#This Row],[Column5]])</f>
        <v>10000</v>
      </c>
      <c r="AE458" s="1">
        <f>sales_dataset[[#This Row],[Column17]]*sales_dataset[[#This Row],[Column16]]</f>
        <v>0</v>
      </c>
    </row>
    <row r="459" spans="3:31" x14ac:dyDescent="0.3">
      <c r="C459" s="1" t="s">
        <v>25</v>
      </c>
      <c r="F459" s="1" t="s">
        <v>118</v>
      </c>
      <c r="H459" s="1" t="s">
        <v>19</v>
      </c>
      <c r="J459" s="1" t="s">
        <v>19</v>
      </c>
      <c r="K459" s="1" t="str">
        <f>IF(TRIM(sales_dataset[[#This Row],[Region]])="", J461, PROPER(TRIM(sales_dataset[[#This Row],[Region]])))</f>
        <v>East</v>
      </c>
      <c r="N459" s="1" t="s">
        <v>56</v>
      </c>
      <c r="Q459" s="1" t="s">
        <v>63</v>
      </c>
      <c r="R459" s="1" t="str">
        <f>IF(TRIM(sales_dataset[[#This Row],[ProductCategory]])="", R477, PROPER(TRIM(sales_dataset[[#This Row],[ProductCategory]])))</f>
        <v>Clothing</v>
      </c>
      <c r="T459" s="1" t="s">
        <v>69</v>
      </c>
      <c r="V459">
        <v>1</v>
      </c>
      <c r="W459" t="str">
        <f>IF(TRIM(sales_dataset[[#This Row],[Quantity]])="",V465,PROPER(TRIM(sales_dataset[[#This Row],[Quantity]])))</f>
        <v>1</v>
      </c>
      <c r="Y459">
        <v>-100</v>
      </c>
      <c r="Z459" t="str">
        <f>IF(TRIM(sales_dataset[[#This Row],[UnitPrice]])="",Y461,PROPER(TRIM(sales_dataset[[#This Row],[UnitPrice]])))</f>
        <v>-100</v>
      </c>
      <c r="AB459">
        <v>-100</v>
      </c>
      <c r="AC459" s="1" t="str">
        <f>IF(TRIM(sales_dataset[[#This Row],[TotalRevenue]])="",AB461,PROPER(TRIM(sales_dataset[[#This Row],[TotalRevenue]])))</f>
        <v>-100</v>
      </c>
      <c r="AD459" s="1">
        <f>ABS(sales_dataset[[#This Row],[Column5]])</f>
        <v>100</v>
      </c>
      <c r="AE459" s="1">
        <f>sales_dataset[[#This Row],[Column17]]*sales_dataset[[#This Row],[Column16]]</f>
        <v>0</v>
      </c>
    </row>
    <row r="460" spans="3:31" x14ac:dyDescent="0.3">
      <c r="C460" s="1" t="s">
        <v>35</v>
      </c>
      <c r="F460" s="1" t="s">
        <v>53</v>
      </c>
      <c r="H460" s="1" t="s">
        <v>79</v>
      </c>
      <c r="J460" s="1" t="s">
        <v>37</v>
      </c>
      <c r="K460" s="1" t="str">
        <f>IF(TRIM(sales_dataset[[#This Row],[Region]])="", J462, PROPER(TRIM(sales_dataset[[#This Row],[Region]])))</f>
        <v>North</v>
      </c>
      <c r="N460" s="1" t="s">
        <v>48</v>
      </c>
      <c r="Q460" s="1" t="s">
        <v>19</v>
      </c>
      <c r="R460" s="1" t="str">
        <f>IF(TRIM(sales_dataset[[#This Row],[ProductCategory]])="", R478, PROPER(TRIM(sales_dataset[[#This Row],[ProductCategory]])))</f>
        <v>Home</v>
      </c>
      <c r="T460" s="1" t="s">
        <v>19</v>
      </c>
      <c r="V460">
        <v>3</v>
      </c>
      <c r="W460" t="str">
        <f>IF(TRIM(sales_dataset[[#This Row],[Quantity]])="",V466,PROPER(TRIM(sales_dataset[[#This Row],[Quantity]])))</f>
        <v>3</v>
      </c>
      <c r="Y460">
        <v>1500</v>
      </c>
      <c r="Z460" t="str">
        <f>IF(TRIM(sales_dataset[[#This Row],[UnitPrice]])="",Y462,PROPER(TRIM(sales_dataset[[#This Row],[UnitPrice]])))</f>
        <v>1500</v>
      </c>
      <c r="AB460">
        <v>4500</v>
      </c>
      <c r="AC460" s="1" t="str">
        <f>IF(TRIM(sales_dataset[[#This Row],[TotalRevenue]])="",AB462,PROPER(TRIM(sales_dataset[[#This Row],[TotalRevenue]])))</f>
        <v>4500</v>
      </c>
      <c r="AD460" s="1">
        <f>ABS(sales_dataset[[#This Row],[Column5]])</f>
        <v>4500</v>
      </c>
      <c r="AE460" s="1">
        <f>sales_dataset[[#This Row],[Column17]]*sales_dataset[[#This Row],[Column16]]</f>
        <v>0</v>
      </c>
    </row>
    <row r="461" spans="3:31" x14ac:dyDescent="0.3">
      <c r="C461" s="1" t="s">
        <v>43</v>
      </c>
      <c r="F461" s="1" t="s">
        <v>18</v>
      </c>
      <c r="H461" s="1" t="s">
        <v>79</v>
      </c>
      <c r="J461" s="1" t="s">
        <v>80</v>
      </c>
      <c r="K461" s="1" t="str">
        <f>IF(TRIM(sales_dataset[[#This Row],[Region]])="", J463, PROPER(TRIM(sales_dataset[[#This Row],[Region]])))</f>
        <v>East</v>
      </c>
      <c r="N461" s="1" t="s">
        <v>48</v>
      </c>
      <c r="Q461" s="1" t="s">
        <v>82</v>
      </c>
      <c r="R461" s="1" t="str">
        <f>IF(TRIM(sales_dataset[[#This Row],[ProductCategory]])="", R479, PROPER(TRIM(sales_dataset[[#This Row],[ProductCategory]])))</f>
        <v>Electronics</v>
      </c>
      <c r="T461" s="1" t="s">
        <v>87</v>
      </c>
      <c r="V461">
        <v>5</v>
      </c>
      <c r="W461" t="str">
        <f>IF(TRIM(sales_dataset[[#This Row],[Quantity]])="",V467,PROPER(TRIM(sales_dataset[[#This Row],[Quantity]])))</f>
        <v>5</v>
      </c>
      <c r="Y461">
        <v>2000</v>
      </c>
      <c r="Z461" t="str">
        <f>IF(TRIM(sales_dataset[[#This Row],[UnitPrice]])="",Y463,PROPER(TRIM(sales_dataset[[#This Row],[UnitPrice]])))</f>
        <v>2000</v>
      </c>
      <c r="AB461">
        <v>10000</v>
      </c>
      <c r="AC461" s="1" t="str">
        <f>IF(TRIM(sales_dataset[[#This Row],[TotalRevenue]])="",AB463,PROPER(TRIM(sales_dataset[[#This Row],[TotalRevenue]])))</f>
        <v>10000</v>
      </c>
      <c r="AD461" s="1">
        <f>ABS(sales_dataset[[#This Row],[Column5]])</f>
        <v>10000</v>
      </c>
      <c r="AE461" s="1">
        <f>sales_dataset[[#This Row],[Column17]]*sales_dataset[[#This Row],[Column16]]</f>
        <v>0</v>
      </c>
    </row>
    <row r="462" spans="3:31" x14ac:dyDescent="0.3">
      <c r="C462" s="1" t="s">
        <v>51</v>
      </c>
      <c r="F462" s="1" t="s">
        <v>60</v>
      </c>
      <c r="H462" s="1" t="s">
        <v>54</v>
      </c>
      <c r="J462" s="1" t="s">
        <v>19</v>
      </c>
      <c r="K462" s="1" t="str">
        <f>IF(TRIM(sales_dataset[[#This Row],[Region]])="", J464, PROPER(TRIM(sales_dataset[[#This Row],[Region]])))</f>
        <v>NORTH</v>
      </c>
      <c r="N462" s="1" t="s">
        <v>39</v>
      </c>
      <c r="Q462" s="1" t="s">
        <v>32</v>
      </c>
      <c r="R462" s="1" t="str">
        <f>IF(TRIM(sales_dataset[[#This Row],[ProductCategory]])="", R480, PROPER(TRIM(sales_dataset[[#This Row],[ProductCategory]])))</f>
        <v>Electronics</v>
      </c>
      <c r="T462" s="1" t="s">
        <v>95</v>
      </c>
      <c r="V462">
        <v>2</v>
      </c>
      <c r="W462" t="str">
        <f>IF(TRIM(sales_dataset[[#This Row],[Quantity]])="",V468,PROPER(TRIM(sales_dataset[[#This Row],[Quantity]])))</f>
        <v>2</v>
      </c>
      <c r="Y462">
        <v>2500</v>
      </c>
      <c r="Z462" t="str">
        <f>IF(TRIM(sales_dataset[[#This Row],[UnitPrice]])="",Y464,PROPER(TRIM(sales_dataset[[#This Row],[UnitPrice]])))</f>
        <v>2500</v>
      </c>
      <c r="AB462">
        <v>5000</v>
      </c>
      <c r="AC462" s="1" t="str">
        <f>IF(TRIM(sales_dataset[[#This Row],[TotalRevenue]])="",AB464,PROPER(TRIM(sales_dataset[[#This Row],[TotalRevenue]])))</f>
        <v>5000</v>
      </c>
      <c r="AD462" s="1">
        <f>ABS(sales_dataset[[#This Row],[Column5]])</f>
        <v>5000</v>
      </c>
      <c r="AE462" s="1">
        <f>sales_dataset[[#This Row],[Column17]]*sales_dataset[[#This Row],[Column16]]</f>
        <v>0</v>
      </c>
    </row>
    <row r="463" spans="3:31" x14ac:dyDescent="0.3">
      <c r="C463" s="1" t="s">
        <v>19</v>
      </c>
      <c r="F463" s="1" t="s">
        <v>27</v>
      </c>
      <c r="H463" s="1" t="s">
        <v>73</v>
      </c>
      <c r="J463" s="1" t="s">
        <v>98</v>
      </c>
      <c r="K463" s="1" t="str">
        <f>IF(TRIM(sales_dataset[[#This Row],[Region]])="", J465, PROPER(TRIM(sales_dataset[[#This Row],[Region]])))</f>
        <v>South</v>
      </c>
      <c r="N463" s="1" t="s">
        <v>56</v>
      </c>
      <c r="Q463" s="1" t="s">
        <v>63</v>
      </c>
      <c r="R463" s="1" t="str">
        <f>IF(TRIM(sales_dataset[[#This Row],[ProductCategory]])="", R481, PROPER(TRIM(sales_dataset[[#This Row],[ProductCategory]])))</f>
        <v>Clothing</v>
      </c>
      <c r="T463" s="1" t="s">
        <v>69</v>
      </c>
      <c r="V463">
        <v>2</v>
      </c>
      <c r="W463" t="str">
        <f>IF(TRIM(sales_dataset[[#This Row],[Quantity]])="",V469,PROPER(TRIM(sales_dataset[[#This Row],[Quantity]])))</f>
        <v>2</v>
      </c>
      <c r="Y463">
        <v>1500</v>
      </c>
      <c r="Z463" t="str">
        <f>IF(TRIM(sales_dataset[[#This Row],[UnitPrice]])="",Y465,PROPER(TRIM(sales_dataset[[#This Row],[UnitPrice]])))</f>
        <v>1500</v>
      </c>
      <c r="AB463">
        <v>3000</v>
      </c>
      <c r="AC463" s="1" t="str">
        <f>IF(TRIM(sales_dataset[[#This Row],[TotalRevenue]])="",AB465,PROPER(TRIM(sales_dataset[[#This Row],[TotalRevenue]])))</f>
        <v>3000</v>
      </c>
      <c r="AD463" s="1">
        <f>ABS(sales_dataset[[#This Row],[Column5]])</f>
        <v>3000</v>
      </c>
      <c r="AE463" s="1">
        <f>sales_dataset[[#This Row],[Column17]]*sales_dataset[[#This Row],[Column16]]</f>
        <v>0</v>
      </c>
    </row>
    <row r="464" spans="3:31" x14ac:dyDescent="0.3">
      <c r="C464" s="1" t="s">
        <v>16</v>
      </c>
      <c r="F464" s="1" t="s">
        <v>18</v>
      </c>
      <c r="H464" s="1" t="s">
        <v>54</v>
      </c>
      <c r="J464" s="1" t="s">
        <v>37</v>
      </c>
      <c r="K464" s="1" t="str">
        <f>IF(TRIM(sales_dataset[[#This Row],[Region]])="", J466, PROPER(TRIM(sales_dataset[[#This Row],[Region]])))</f>
        <v>North</v>
      </c>
      <c r="N464" s="1" t="s">
        <v>30</v>
      </c>
      <c r="Q464" s="1" t="s">
        <v>41</v>
      </c>
      <c r="R464" s="1" t="str">
        <f>IF(TRIM(sales_dataset[[#This Row],[ProductCategory]])="", R482, PROPER(TRIM(sales_dataset[[#This Row],[ProductCategory]])))</f>
        <v>Home</v>
      </c>
      <c r="T464" s="1" t="s">
        <v>33</v>
      </c>
      <c r="V464">
        <v>1</v>
      </c>
      <c r="W464" t="str">
        <f>IF(TRIM(sales_dataset[[#This Row],[Quantity]])="",V470,PROPER(TRIM(sales_dataset[[#This Row],[Quantity]])))</f>
        <v>1</v>
      </c>
      <c r="Z464">
        <f>IF(TRIM(sales_dataset[[#This Row],[UnitPrice]])="",Y466,PROPER(TRIM(sales_dataset[[#This Row],[UnitPrice]])))</f>
        <v>2000</v>
      </c>
      <c r="AC464" s="1">
        <f>IF(TRIM(sales_dataset[[#This Row],[TotalRevenue]])="",AB466,PROPER(TRIM(sales_dataset[[#This Row],[TotalRevenue]])))</f>
        <v>8000</v>
      </c>
      <c r="AD464" s="1">
        <f>ABS(sales_dataset[[#This Row],[Column5]])</f>
        <v>8000</v>
      </c>
      <c r="AE464" s="1">
        <f>sales_dataset[[#This Row],[Column17]]*sales_dataset[[#This Row],[Column16]]</f>
        <v>0</v>
      </c>
    </row>
    <row r="465" spans="3:31" x14ac:dyDescent="0.3">
      <c r="C465" s="1" t="s">
        <v>25</v>
      </c>
      <c r="F465" s="1" t="s">
        <v>72</v>
      </c>
      <c r="H465" s="1" t="s">
        <v>73</v>
      </c>
      <c r="J465" s="1" t="s">
        <v>66</v>
      </c>
      <c r="K465" s="1" t="str">
        <f>IF(TRIM(sales_dataset[[#This Row],[Region]])="", J467, PROPER(TRIM(sales_dataset[[#This Row],[Region]])))</f>
        <v>West</v>
      </c>
      <c r="N465" s="1" t="s">
        <v>39</v>
      </c>
      <c r="Q465" s="1" t="s">
        <v>82</v>
      </c>
      <c r="R465" s="1" t="str">
        <f>IF(TRIM(sales_dataset[[#This Row],[ProductCategory]])="", R483, PROPER(TRIM(sales_dataset[[#This Row],[ProductCategory]])))</f>
        <v>Electronics</v>
      </c>
      <c r="T465" s="1" t="s">
        <v>23</v>
      </c>
      <c r="V465">
        <v>-1</v>
      </c>
      <c r="W465" t="str">
        <f>IF(TRIM(sales_dataset[[#This Row],[Quantity]])="",V471,PROPER(TRIM(sales_dataset[[#This Row],[Quantity]])))</f>
        <v>-1</v>
      </c>
      <c r="Y465">
        <v>-100</v>
      </c>
      <c r="Z465" t="str">
        <f>IF(TRIM(sales_dataset[[#This Row],[UnitPrice]])="",Y467,PROPER(TRIM(sales_dataset[[#This Row],[UnitPrice]])))</f>
        <v>-100</v>
      </c>
      <c r="AB465">
        <v>100</v>
      </c>
      <c r="AC465" s="1" t="str">
        <f>IF(TRIM(sales_dataset[[#This Row],[TotalRevenue]])="",AB467,PROPER(TRIM(sales_dataset[[#This Row],[TotalRevenue]])))</f>
        <v>100</v>
      </c>
      <c r="AD465" s="1">
        <f>ABS(sales_dataset[[#This Row],[Column5]])</f>
        <v>100</v>
      </c>
      <c r="AE465" s="1">
        <f>sales_dataset[[#This Row],[Column17]]*sales_dataset[[#This Row],[Column16]]</f>
        <v>0</v>
      </c>
    </row>
    <row r="466" spans="3:31" x14ac:dyDescent="0.3">
      <c r="C466" s="1" t="s">
        <v>35</v>
      </c>
      <c r="F466" s="1" t="s">
        <v>60</v>
      </c>
      <c r="H466" s="1" t="s">
        <v>45</v>
      </c>
      <c r="J466" s="1" t="s">
        <v>37</v>
      </c>
      <c r="K466" s="1" t="str">
        <f>IF(TRIM(sales_dataset[[#This Row],[Region]])="", J468, PROPER(TRIM(sales_dataset[[#This Row],[Region]])))</f>
        <v>North</v>
      </c>
      <c r="N466" s="1" t="s">
        <v>21</v>
      </c>
      <c r="Q466" s="1" t="s">
        <v>63</v>
      </c>
      <c r="R466" s="1" t="str">
        <f>IF(TRIM(sales_dataset[[#This Row],[ProductCategory]])="", R484, PROPER(TRIM(sales_dataset[[#This Row],[ProductCategory]])))</f>
        <v>Clothing</v>
      </c>
      <c r="T466" s="1" t="s">
        <v>76</v>
      </c>
      <c r="V466">
        <v>4</v>
      </c>
      <c r="W466" t="str">
        <f>IF(TRIM(sales_dataset[[#This Row],[Quantity]])="",V472,PROPER(TRIM(sales_dataset[[#This Row],[Quantity]])))</f>
        <v>4</v>
      </c>
      <c r="Y466">
        <v>2000</v>
      </c>
      <c r="Z466" t="str">
        <f>IF(TRIM(sales_dataset[[#This Row],[UnitPrice]])="",Y468,PROPER(TRIM(sales_dataset[[#This Row],[UnitPrice]])))</f>
        <v>2000</v>
      </c>
      <c r="AB466">
        <v>8000</v>
      </c>
      <c r="AC466" s="1" t="str">
        <f>IF(TRIM(sales_dataset[[#This Row],[TotalRevenue]])="",AB468,PROPER(TRIM(sales_dataset[[#This Row],[TotalRevenue]])))</f>
        <v>8000</v>
      </c>
      <c r="AD466" s="1">
        <f>ABS(sales_dataset[[#This Row],[Column5]])</f>
        <v>8000</v>
      </c>
      <c r="AE466" s="1">
        <f>sales_dataset[[#This Row],[Column17]]*sales_dataset[[#This Row],[Column16]]</f>
        <v>0</v>
      </c>
    </row>
    <row r="467" spans="3:31" x14ac:dyDescent="0.3">
      <c r="C467" s="1" t="s">
        <v>43</v>
      </c>
      <c r="F467" s="1" t="s">
        <v>19</v>
      </c>
      <c r="H467" s="1" t="s">
        <v>79</v>
      </c>
      <c r="J467" s="1" t="s">
        <v>19</v>
      </c>
      <c r="K467" s="1" t="str">
        <f>IF(TRIM(sales_dataset[[#This Row],[Region]])="", J469, PROPER(TRIM(sales_dataset[[#This Row],[Region]])))</f>
        <v>West</v>
      </c>
      <c r="N467" s="1" t="s">
        <v>30</v>
      </c>
      <c r="Q467" s="1" t="s">
        <v>41</v>
      </c>
      <c r="R467" s="1" t="str">
        <f>IF(TRIM(sales_dataset[[#This Row],[ProductCategory]])="", R485, PROPER(TRIM(sales_dataset[[#This Row],[ProductCategory]])))</f>
        <v>Home</v>
      </c>
      <c r="T467" s="1" t="s">
        <v>69</v>
      </c>
      <c r="V467">
        <v>2</v>
      </c>
      <c r="W467" t="str">
        <f>IF(TRIM(sales_dataset[[#This Row],[Quantity]])="",V473,PROPER(TRIM(sales_dataset[[#This Row],[Quantity]])))</f>
        <v>2</v>
      </c>
      <c r="Y467">
        <v>1500</v>
      </c>
      <c r="Z467" t="str">
        <f>IF(TRIM(sales_dataset[[#This Row],[UnitPrice]])="",Y469,PROPER(TRIM(sales_dataset[[#This Row],[UnitPrice]])))</f>
        <v>1500</v>
      </c>
      <c r="AB467">
        <v>3000</v>
      </c>
      <c r="AC467" s="1" t="str">
        <f>IF(TRIM(sales_dataset[[#This Row],[TotalRevenue]])="",AB469,PROPER(TRIM(sales_dataset[[#This Row],[TotalRevenue]])))</f>
        <v>3000</v>
      </c>
      <c r="AD467" s="1">
        <f>ABS(sales_dataset[[#This Row],[Column5]])</f>
        <v>3000</v>
      </c>
      <c r="AE467" s="1">
        <f>sales_dataset[[#This Row],[Column17]]*sales_dataset[[#This Row],[Column16]]</f>
        <v>0</v>
      </c>
    </row>
    <row r="468" spans="3:31" x14ac:dyDescent="0.3">
      <c r="C468" s="1" t="s">
        <v>51</v>
      </c>
      <c r="F468" s="1" t="s">
        <v>19</v>
      </c>
      <c r="H468" s="1" t="s">
        <v>147</v>
      </c>
      <c r="J468" s="1" t="s">
        <v>46</v>
      </c>
      <c r="K468" s="1" t="str">
        <f>IF(TRIM(sales_dataset[[#This Row],[Region]])="", J470, PROPER(TRIM(sales_dataset[[#This Row],[Region]])))</f>
        <v>North</v>
      </c>
      <c r="N468" s="1" t="s">
        <v>56</v>
      </c>
      <c r="Q468" s="1" t="s">
        <v>41</v>
      </c>
      <c r="R468" s="1" t="str">
        <f>IF(TRIM(sales_dataset[[#This Row],[ProductCategory]])="", R486, PROPER(TRIM(sales_dataset[[#This Row],[ProductCategory]])))</f>
        <v>Home</v>
      </c>
      <c r="T468" s="1" t="s">
        <v>87</v>
      </c>
      <c r="V468">
        <v>4</v>
      </c>
      <c r="W468" t="str">
        <f>IF(TRIM(sales_dataset[[#This Row],[Quantity]])="",V474,PROPER(TRIM(sales_dataset[[#This Row],[Quantity]])))</f>
        <v>4</v>
      </c>
      <c r="Y468">
        <v>2500</v>
      </c>
      <c r="Z468" t="str">
        <f>IF(TRIM(sales_dataset[[#This Row],[UnitPrice]])="",Y470,PROPER(TRIM(sales_dataset[[#This Row],[UnitPrice]])))</f>
        <v>2500</v>
      </c>
      <c r="AB468">
        <v>10000</v>
      </c>
      <c r="AC468" s="1" t="str">
        <f>IF(TRIM(sales_dataset[[#This Row],[TotalRevenue]])="",AB470,PROPER(TRIM(sales_dataset[[#This Row],[TotalRevenue]])))</f>
        <v>10000</v>
      </c>
      <c r="AD468" s="1">
        <f>ABS(sales_dataset[[#This Row],[Column5]])</f>
        <v>10000</v>
      </c>
      <c r="AE468" s="1">
        <f>sales_dataset[[#This Row],[Column17]]*sales_dataset[[#This Row],[Column16]]</f>
        <v>0</v>
      </c>
    </row>
    <row r="469" spans="3:31" x14ac:dyDescent="0.3">
      <c r="C469" s="1" t="s">
        <v>19</v>
      </c>
      <c r="F469" s="1" t="s">
        <v>27</v>
      </c>
      <c r="H469" s="1" t="s">
        <v>54</v>
      </c>
      <c r="J469" s="1" t="s">
        <v>66</v>
      </c>
      <c r="K469" s="1" t="str">
        <f>IF(TRIM(sales_dataset[[#This Row],[Region]])="", J471, PROPER(TRIM(sales_dataset[[#This Row],[Region]])))</f>
        <v>West</v>
      </c>
      <c r="N469" s="1" t="s">
        <v>21</v>
      </c>
      <c r="Q469" s="1" t="s">
        <v>63</v>
      </c>
      <c r="R469" s="1" t="str">
        <f>IF(TRIM(sales_dataset[[#This Row],[ProductCategory]])="", R487, PROPER(TRIM(sales_dataset[[#This Row],[ProductCategory]])))</f>
        <v>Clothing</v>
      </c>
      <c r="T469" s="1" t="s">
        <v>33</v>
      </c>
      <c r="V469">
        <v>-1</v>
      </c>
      <c r="W469" t="str">
        <f>IF(TRIM(sales_dataset[[#This Row],[Quantity]])="",V475,PROPER(TRIM(sales_dataset[[#This Row],[Quantity]])))</f>
        <v>-1</v>
      </c>
      <c r="Z469">
        <f>IF(TRIM(sales_dataset[[#This Row],[UnitPrice]])="",Y471,PROPER(TRIM(sales_dataset[[#This Row],[UnitPrice]])))</f>
        <v>500</v>
      </c>
      <c r="AC469" s="1">
        <f>IF(TRIM(sales_dataset[[#This Row],[TotalRevenue]])="",AB471,PROPER(TRIM(sales_dataset[[#This Row],[TotalRevenue]])))</f>
        <v>1000</v>
      </c>
      <c r="AD469" s="1">
        <f>ABS(sales_dataset[[#This Row],[Column5]])</f>
        <v>1000</v>
      </c>
      <c r="AE469" s="1">
        <f>sales_dataset[[#This Row],[Column17]]*sales_dataset[[#This Row],[Column16]]</f>
        <v>0</v>
      </c>
    </row>
    <row r="470" spans="3:31" x14ac:dyDescent="0.3">
      <c r="C470" s="1" t="s">
        <v>16</v>
      </c>
      <c r="F470" s="1" t="s">
        <v>60</v>
      </c>
      <c r="H470" s="1" t="s">
        <v>54</v>
      </c>
      <c r="J470" s="1" t="s">
        <v>19</v>
      </c>
      <c r="K470" s="1" t="str">
        <f>IF(TRIM(sales_dataset[[#This Row],[Region]])="", J472, PROPER(TRIM(sales_dataset[[#This Row],[Region]])))</f>
        <v>East</v>
      </c>
      <c r="N470" s="1" t="s">
        <v>48</v>
      </c>
      <c r="Q470" s="1" t="s">
        <v>82</v>
      </c>
      <c r="R470" s="1" t="str">
        <f>IF(TRIM(sales_dataset[[#This Row],[ProductCategory]])="", R488, PROPER(TRIM(sales_dataset[[#This Row],[ProductCategory]])))</f>
        <v>Electronics</v>
      </c>
      <c r="T470" s="1" t="s">
        <v>87</v>
      </c>
      <c r="V470">
        <v>-1</v>
      </c>
      <c r="W470" t="str">
        <f>IF(TRIM(sales_dataset[[#This Row],[Quantity]])="",V476,PROPER(TRIM(sales_dataset[[#This Row],[Quantity]])))</f>
        <v>-1</v>
      </c>
      <c r="Z470">
        <f>IF(TRIM(sales_dataset[[#This Row],[UnitPrice]])="",Y472,PROPER(TRIM(sales_dataset[[#This Row],[UnitPrice]])))</f>
        <v>2500</v>
      </c>
      <c r="AC470" s="1">
        <f>IF(TRIM(sales_dataset[[#This Row],[TotalRevenue]])="",AB472,PROPER(TRIM(sales_dataset[[#This Row],[TotalRevenue]])))</f>
        <v>0</v>
      </c>
      <c r="AD470" s="1">
        <f>ABS(sales_dataset[[#This Row],[Column5]])</f>
        <v>0</v>
      </c>
      <c r="AE470" s="1">
        <f>sales_dataset[[#This Row],[Column17]]*sales_dataset[[#This Row],[Column16]]</f>
        <v>0</v>
      </c>
    </row>
    <row r="471" spans="3:31" x14ac:dyDescent="0.3">
      <c r="C471" s="1" t="s">
        <v>25</v>
      </c>
      <c r="F471" s="1" t="s">
        <v>53</v>
      </c>
      <c r="H471" s="1" t="s">
        <v>79</v>
      </c>
      <c r="J471" s="1" t="s">
        <v>37</v>
      </c>
      <c r="K471" s="1" t="str">
        <f>IF(TRIM(sales_dataset[[#This Row],[Region]])="", J473, PROPER(TRIM(sales_dataset[[#This Row],[Region]])))</f>
        <v>North</v>
      </c>
      <c r="N471" s="1" t="s">
        <v>56</v>
      </c>
      <c r="Q471" s="1" t="s">
        <v>41</v>
      </c>
      <c r="R471" s="1" t="str">
        <f>IF(TRIM(sales_dataset[[#This Row],[ProductCategory]])="", R489, PROPER(TRIM(sales_dataset[[#This Row],[ProductCategory]])))</f>
        <v>Home</v>
      </c>
      <c r="T471" s="1" t="s">
        <v>19</v>
      </c>
      <c r="V471">
        <v>2</v>
      </c>
      <c r="W471" t="str">
        <f>IF(TRIM(sales_dataset[[#This Row],[Quantity]])="",V477,PROPER(TRIM(sales_dataset[[#This Row],[Quantity]])))</f>
        <v>2</v>
      </c>
      <c r="Y471">
        <v>500</v>
      </c>
      <c r="Z471" t="str">
        <f>IF(TRIM(sales_dataset[[#This Row],[UnitPrice]])="",Y473,PROPER(TRIM(sales_dataset[[#This Row],[UnitPrice]])))</f>
        <v>500</v>
      </c>
      <c r="AB471">
        <v>1000</v>
      </c>
      <c r="AC471" s="1" t="str">
        <f>IF(TRIM(sales_dataset[[#This Row],[TotalRevenue]])="",AB473,PROPER(TRIM(sales_dataset[[#This Row],[TotalRevenue]])))</f>
        <v>1000</v>
      </c>
      <c r="AD471" s="1">
        <f>ABS(sales_dataset[[#This Row],[Column5]])</f>
        <v>1000</v>
      </c>
      <c r="AE471" s="1">
        <f>sales_dataset[[#This Row],[Column17]]*sales_dataset[[#This Row],[Column16]]</f>
        <v>0</v>
      </c>
    </row>
    <row r="472" spans="3:31" x14ac:dyDescent="0.3">
      <c r="C472" s="1" t="s">
        <v>35</v>
      </c>
      <c r="F472" s="1" t="s">
        <v>72</v>
      </c>
      <c r="H472" s="1" t="s">
        <v>19</v>
      </c>
      <c r="J472" s="1" t="s">
        <v>80</v>
      </c>
      <c r="K472" s="1" t="str">
        <f>IF(TRIM(sales_dataset[[#This Row],[Region]])="", J474, PROPER(TRIM(sales_dataset[[#This Row],[Region]])))</f>
        <v>East</v>
      </c>
      <c r="N472" s="1" t="s">
        <v>21</v>
      </c>
      <c r="Q472" s="1" t="s">
        <v>32</v>
      </c>
      <c r="R472" s="1" t="str">
        <f>IF(TRIM(sales_dataset[[#This Row],[ProductCategory]])="", R490, PROPER(TRIM(sales_dataset[[#This Row],[ProductCategory]])))</f>
        <v>Electronics</v>
      </c>
      <c r="T472" s="1" t="s">
        <v>95</v>
      </c>
      <c r="W472">
        <f>IF(TRIM(sales_dataset[[#This Row],[Quantity]])="",V478,PROPER(TRIM(sales_dataset[[#This Row],[Quantity]])))</f>
        <v>0</v>
      </c>
      <c r="Y472">
        <v>2500</v>
      </c>
      <c r="Z472" t="str">
        <f>IF(TRIM(sales_dataset[[#This Row],[UnitPrice]])="",Y474,PROPER(TRIM(sales_dataset[[#This Row],[UnitPrice]])))</f>
        <v>2500</v>
      </c>
      <c r="AC472" s="1">
        <f>IF(TRIM(sales_dataset[[#This Row],[TotalRevenue]])="",AB474,PROPER(TRIM(sales_dataset[[#This Row],[TotalRevenue]])))</f>
        <v>0</v>
      </c>
      <c r="AD472" s="1">
        <f>ABS(sales_dataset[[#This Row],[Column5]])</f>
        <v>0</v>
      </c>
      <c r="AE472" s="1">
        <f>sales_dataset[[#This Row],[Column17]]*sales_dataset[[#This Row],[Column16]]</f>
        <v>0</v>
      </c>
    </row>
    <row r="473" spans="3:31" x14ac:dyDescent="0.3">
      <c r="C473" s="1" t="s">
        <v>43</v>
      </c>
      <c r="F473" s="1" t="s">
        <v>53</v>
      </c>
      <c r="H473" s="1" t="s">
        <v>79</v>
      </c>
      <c r="J473" s="1" t="s">
        <v>19</v>
      </c>
      <c r="K473" s="1" t="str">
        <f>IF(TRIM(sales_dataset[[#This Row],[Region]])="", J475, PROPER(TRIM(sales_dataset[[#This Row],[Region]])))</f>
        <v>West</v>
      </c>
      <c r="N473" s="1" t="s">
        <v>56</v>
      </c>
      <c r="Q473" s="1" t="s">
        <v>82</v>
      </c>
      <c r="R473" s="1" t="str">
        <f>IF(TRIM(sales_dataset[[#This Row],[ProductCategory]])="", R491, PROPER(TRIM(sales_dataset[[#This Row],[ProductCategory]])))</f>
        <v>Electronics</v>
      </c>
      <c r="T473" s="1" t="s">
        <v>19</v>
      </c>
      <c r="V473">
        <v>3</v>
      </c>
      <c r="W473" t="str">
        <f>IF(TRIM(sales_dataset[[#This Row],[Quantity]])="",V479,PROPER(TRIM(sales_dataset[[#This Row],[Quantity]])))</f>
        <v>3</v>
      </c>
      <c r="Y473">
        <v>2000</v>
      </c>
      <c r="Z473" t="str">
        <f>IF(TRIM(sales_dataset[[#This Row],[UnitPrice]])="",Y475,PROPER(TRIM(sales_dataset[[#This Row],[UnitPrice]])))</f>
        <v>2000</v>
      </c>
      <c r="AB473">
        <v>6000</v>
      </c>
      <c r="AC473" s="1" t="str">
        <f>IF(TRIM(sales_dataset[[#This Row],[TotalRevenue]])="",AB475,PROPER(TRIM(sales_dataset[[#This Row],[TotalRevenue]])))</f>
        <v>6000</v>
      </c>
      <c r="AD473" s="1">
        <f>ABS(sales_dataset[[#This Row],[Column5]])</f>
        <v>6000</v>
      </c>
      <c r="AE473" s="1">
        <f>sales_dataset[[#This Row],[Column17]]*sales_dataset[[#This Row],[Column16]]</f>
        <v>0</v>
      </c>
    </row>
    <row r="474" spans="3:31" x14ac:dyDescent="0.3">
      <c r="C474" s="1" t="s">
        <v>51</v>
      </c>
      <c r="F474" s="1" t="s">
        <v>53</v>
      </c>
      <c r="H474" s="1" t="s">
        <v>45</v>
      </c>
      <c r="J474" s="1" t="s">
        <v>80</v>
      </c>
      <c r="K474" s="1" t="str">
        <f>IF(TRIM(sales_dataset[[#This Row],[Region]])="", J476, PROPER(TRIM(sales_dataset[[#This Row],[Region]])))</f>
        <v>East</v>
      </c>
      <c r="N474" s="1" t="s">
        <v>21</v>
      </c>
      <c r="Q474" s="1" t="s">
        <v>41</v>
      </c>
      <c r="R474" s="1" t="str">
        <f>IF(TRIM(sales_dataset[[#This Row],[ProductCategory]])="", R492, PROPER(TRIM(sales_dataset[[#This Row],[ProductCategory]])))</f>
        <v>Home</v>
      </c>
      <c r="T474" s="1" t="s">
        <v>69</v>
      </c>
      <c r="V474">
        <v>1</v>
      </c>
      <c r="W474" t="str">
        <f>IF(TRIM(sales_dataset[[#This Row],[Quantity]])="",V480,PROPER(TRIM(sales_dataset[[#This Row],[Quantity]])))</f>
        <v>1</v>
      </c>
      <c r="Z474">
        <f>IF(TRIM(sales_dataset[[#This Row],[UnitPrice]])="",Y476,PROPER(TRIM(sales_dataset[[#This Row],[UnitPrice]])))</f>
        <v>-100</v>
      </c>
      <c r="AC474" s="1">
        <f>IF(TRIM(sales_dataset[[#This Row],[TotalRevenue]])="",AB476,PROPER(TRIM(sales_dataset[[#This Row],[TotalRevenue]])))</f>
        <v>-400</v>
      </c>
      <c r="AD474" s="1">
        <f>ABS(sales_dataset[[#This Row],[Column5]])</f>
        <v>400</v>
      </c>
      <c r="AE474" s="1">
        <f>sales_dataset[[#This Row],[Column17]]*sales_dataset[[#This Row],[Column16]]</f>
        <v>0</v>
      </c>
    </row>
    <row r="475" spans="3:31" x14ac:dyDescent="0.3">
      <c r="C475" s="1" t="s">
        <v>19</v>
      </c>
      <c r="F475" s="1" t="s">
        <v>118</v>
      </c>
      <c r="H475" s="1" t="s">
        <v>19</v>
      </c>
      <c r="J475" s="1" t="s">
        <v>66</v>
      </c>
      <c r="K475" s="1" t="str">
        <f>IF(TRIM(sales_dataset[[#This Row],[Region]])="", J477, PROPER(TRIM(sales_dataset[[#This Row],[Region]])))</f>
        <v>West</v>
      </c>
      <c r="N475" s="1" t="s">
        <v>56</v>
      </c>
      <c r="Q475" s="1" t="s">
        <v>63</v>
      </c>
      <c r="R475" s="1" t="str">
        <f>IF(TRIM(sales_dataset[[#This Row],[ProductCategory]])="", R493, PROPER(TRIM(sales_dataset[[#This Row],[ProductCategory]])))</f>
        <v>Clothing</v>
      </c>
      <c r="T475" s="1" t="s">
        <v>87</v>
      </c>
      <c r="V475">
        <v>-1</v>
      </c>
      <c r="W475" t="str">
        <f>IF(TRIM(sales_dataset[[#This Row],[Quantity]])="",V481,PROPER(TRIM(sales_dataset[[#This Row],[Quantity]])))</f>
        <v>-1</v>
      </c>
      <c r="Y475">
        <v>500</v>
      </c>
      <c r="Z475" t="str">
        <f>IF(TRIM(sales_dataset[[#This Row],[UnitPrice]])="",Y477,PROPER(TRIM(sales_dataset[[#This Row],[UnitPrice]])))</f>
        <v>500</v>
      </c>
      <c r="AB475">
        <v>-500</v>
      </c>
      <c r="AC475" s="1" t="str">
        <f>IF(TRIM(sales_dataset[[#This Row],[TotalRevenue]])="",AB477,PROPER(TRIM(sales_dataset[[#This Row],[TotalRevenue]])))</f>
        <v>-500</v>
      </c>
      <c r="AD475" s="1">
        <f>ABS(sales_dataset[[#This Row],[Column5]])</f>
        <v>500</v>
      </c>
      <c r="AE475" s="1">
        <f>sales_dataset[[#This Row],[Column17]]*sales_dataset[[#This Row],[Column16]]</f>
        <v>0</v>
      </c>
    </row>
    <row r="476" spans="3:31" x14ac:dyDescent="0.3">
      <c r="C476" s="1" t="s">
        <v>16</v>
      </c>
      <c r="F476" s="1" t="s">
        <v>60</v>
      </c>
      <c r="H476" s="1" t="s">
        <v>28</v>
      </c>
      <c r="J476" s="1" t="s">
        <v>98</v>
      </c>
      <c r="K476" s="1" t="str">
        <f>IF(TRIM(sales_dataset[[#This Row],[Region]])="", J478, PROPER(TRIM(sales_dataset[[#This Row],[Region]])))</f>
        <v>South</v>
      </c>
      <c r="N476" s="1" t="s">
        <v>19</v>
      </c>
      <c r="Q476" s="1" t="s">
        <v>63</v>
      </c>
      <c r="R476" s="1" t="str">
        <f>IF(TRIM(sales_dataset[[#This Row],[ProductCategory]])="", R494, PROPER(TRIM(sales_dataset[[#This Row],[ProductCategory]])))</f>
        <v>Clothing</v>
      </c>
      <c r="T476" s="1" t="s">
        <v>33</v>
      </c>
      <c r="V476">
        <v>4</v>
      </c>
      <c r="W476" t="str">
        <f>IF(TRIM(sales_dataset[[#This Row],[Quantity]])="",V482,PROPER(TRIM(sales_dataset[[#This Row],[Quantity]])))</f>
        <v>4</v>
      </c>
      <c r="Y476">
        <v>-100</v>
      </c>
      <c r="Z476" t="str">
        <f>IF(TRIM(sales_dataset[[#This Row],[UnitPrice]])="",Y478,PROPER(TRIM(sales_dataset[[#This Row],[UnitPrice]])))</f>
        <v>-100</v>
      </c>
      <c r="AB476">
        <v>-400</v>
      </c>
      <c r="AC476" s="1" t="str">
        <f>IF(TRIM(sales_dataset[[#This Row],[TotalRevenue]])="",AB478,PROPER(TRIM(sales_dataset[[#This Row],[TotalRevenue]])))</f>
        <v>-400</v>
      </c>
      <c r="AD476" s="1">
        <f>ABS(sales_dataset[[#This Row],[Column5]])</f>
        <v>400</v>
      </c>
      <c r="AE476" s="1">
        <f>sales_dataset[[#This Row],[Column17]]*sales_dataset[[#This Row],[Column16]]</f>
        <v>0</v>
      </c>
    </row>
    <row r="477" spans="3:31" x14ac:dyDescent="0.3">
      <c r="C477" s="1" t="s">
        <v>25</v>
      </c>
      <c r="F477" s="1" t="s">
        <v>60</v>
      </c>
      <c r="H477" s="1" t="s">
        <v>54</v>
      </c>
      <c r="J477" s="1" t="s">
        <v>19</v>
      </c>
      <c r="K477" s="1" t="str">
        <f>IF(TRIM(sales_dataset[[#This Row],[Region]])="", J479, PROPER(TRIM(sales_dataset[[#This Row],[Region]])))</f>
        <v>East</v>
      </c>
      <c r="N477" s="1" t="s">
        <v>48</v>
      </c>
      <c r="Q477" s="1" t="s">
        <v>82</v>
      </c>
      <c r="R477" s="1" t="str">
        <f>IF(TRIM(sales_dataset[[#This Row],[ProductCategory]])="", R495, PROPER(TRIM(sales_dataset[[#This Row],[ProductCategory]])))</f>
        <v>Electronics</v>
      </c>
      <c r="T477" s="1" t="s">
        <v>87</v>
      </c>
      <c r="V477">
        <v>1</v>
      </c>
      <c r="W477" t="str">
        <f>IF(TRIM(sales_dataset[[#This Row],[Quantity]])="",V483,PROPER(TRIM(sales_dataset[[#This Row],[Quantity]])))</f>
        <v>1</v>
      </c>
      <c r="Y477">
        <v>1500</v>
      </c>
      <c r="Z477" t="str">
        <f>IF(TRIM(sales_dataset[[#This Row],[UnitPrice]])="",Y479,PROPER(TRIM(sales_dataset[[#This Row],[UnitPrice]])))</f>
        <v>1500</v>
      </c>
      <c r="AB477">
        <v>1500</v>
      </c>
      <c r="AC477" s="1" t="str">
        <f>IF(TRIM(sales_dataset[[#This Row],[TotalRevenue]])="",AB479,PROPER(TRIM(sales_dataset[[#This Row],[TotalRevenue]])))</f>
        <v>1500</v>
      </c>
      <c r="AD477" s="1">
        <f>ABS(sales_dataset[[#This Row],[Column5]])</f>
        <v>1500</v>
      </c>
      <c r="AE477" s="1">
        <f>sales_dataset[[#This Row],[Column17]]*sales_dataset[[#This Row],[Column16]]</f>
        <v>0</v>
      </c>
    </row>
    <row r="478" spans="3:31" x14ac:dyDescent="0.3">
      <c r="C478" s="1" t="s">
        <v>35</v>
      </c>
      <c r="F478" s="1" t="s">
        <v>19</v>
      </c>
      <c r="H478" s="1" t="s">
        <v>73</v>
      </c>
      <c r="J478" s="1" t="s">
        <v>66</v>
      </c>
      <c r="K478" s="1" t="str">
        <f>IF(TRIM(sales_dataset[[#This Row],[Region]])="", J480, PROPER(TRIM(sales_dataset[[#This Row],[Region]])))</f>
        <v>West</v>
      </c>
      <c r="N478" s="1" t="s">
        <v>39</v>
      </c>
      <c r="Q478" s="1" t="s">
        <v>41</v>
      </c>
      <c r="R478" s="1" t="str">
        <f>IF(TRIM(sales_dataset[[#This Row],[ProductCategory]])="", R496, PROPER(TRIM(sales_dataset[[#This Row],[ProductCategory]])))</f>
        <v>Home</v>
      </c>
      <c r="T478" s="1" t="s">
        <v>23</v>
      </c>
      <c r="W478">
        <f>IF(TRIM(sales_dataset[[#This Row],[Quantity]])="",V484,PROPER(TRIM(sales_dataset[[#This Row],[Quantity]])))</f>
        <v>4</v>
      </c>
      <c r="Z478">
        <f>IF(TRIM(sales_dataset[[#This Row],[UnitPrice]])="",Y480,PROPER(TRIM(sales_dataset[[#This Row],[UnitPrice]])))</f>
        <v>1500</v>
      </c>
      <c r="AC478" s="1">
        <f>IF(TRIM(sales_dataset[[#This Row],[TotalRevenue]])="",AB480,PROPER(TRIM(sales_dataset[[#This Row],[TotalRevenue]])))</f>
        <v>0</v>
      </c>
      <c r="AD478" s="1">
        <f>ABS(sales_dataset[[#This Row],[Column5]])</f>
        <v>0</v>
      </c>
      <c r="AE478" s="1">
        <f>sales_dataset[[#This Row],[Column17]]*sales_dataset[[#This Row],[Column16]]</f>
        <v>0</v>
      </c>
    </row>
    <row r="479" spans="3:31" x14ac:dyDescent="0.3">
      <c r="C479" s="1" t="s">
        <v>43</v>
      </c>
      <c r="F479" s="1" t="s">
        <v>18</v>
      </c>
      <c r="H479" s="1" t="s">
        <v>45</v>
      </c>
      <c r="J479" s="1" t="s">
        <v>80</v>
      </c>
      <c r="K479" s="1" t="str">
        <f>IF(TRIM(sales_dataset[[#This Row],[Region]])="", J481, PROPER(TRIM(sales_dataset[[#This Row],[Region]])))</f>
        <v>East</v>
      </c>
      <c r="N479" s="1" t="s">
        <v>21</v>
      </c>
      <c r="Q479" s="1" t="s">
        <v>41</v>
      </c>
      <c r="R479" s="1" t="str">
        <f>IF(TRIM(sales_dataset[[#This Row],[ProductCategory]])="", R497, PROPER(TRIM(sales_dataset[[#This Row],[ProductCategory]])))</f>
        <v>Home</v>
      </c>
      <c r="T479" s="1" t="s">
        <v>69</v>
      </c>
      <c r="V479">
        <v>-1</v>
      </c>
      <c r="W479" t="str">
        <f>IF(TRIM(sales_dataset[[#This Row],[Quantity]])="",V485,PROPER(TRIM(sales_dataset[[#This Row],[Quantity]])))</f>
        <v>-1</v>
      </c>
      <c r="Y479">
        <v>-100</v>
      </c>
      <c r="Z479" t="str">
        <f>IF(TRIM(sales_dataset[[#This Row],[UnitPrice]])="",Y481,PROPER(TRIM(sales_dataset[[#This Row],[UnitPrice]])))</f>
        <v>-100</v>
      </c>
      <c r="AB479">
        <v>100</v>
      </c>
      <c r="AC479" s="1" t="str">
        <f>IF(TRIM(sales_dataset[[#This Row],[TotalRevenue]])="",AB481,PROPER(TRIM(sales_dataset[[#This Row],[TotalRevenue]])))</f>
        <v>100</v>
      </c>
      <c r="AD479" s="1">
        <f>ABS(sales_dataset[[#This Row],[Column5]])</f>
        <v>100</v>
      </c>
      <c r="AE479" s="1">
        <f>sales_dataset[[#This Row],[Column17]]*sales_dataset[[#This Row],[Column16]]</f>
        <v>0</v>
      </c>
    </row>
    <row r="480" spans="3:31" x14ac:dyDescent="0.3">
      <c r="C480" s="1" t="s">
        <v>51</v>
      </c>
      <c r="F480" s="1" t="s">
        <v>72</v>
      </c>
      <c r="H480" s="1" t="s">
        <v>79</v>
      </c>
      <c r="J480" s="1" t="s">
        <v>66</v>
      </c>
      <c r="K480" s="1" t="str">
        <f>IF(TRIM(sales_dataset[[#This Row],[Region]])="", J482, PROPER(TRIM(sales_dataset[[#This Row],[Region]])))</f>
        <v>West</v>
      </c>
      <c r="N480" s="1" t="s">
        <v>21</v>
      </c>
      <c r="Q480" s="1" t="s">
        <v>82</v>
      </c>
      <c r="R480" s="1" t="str">
        <f>IF(TRIM(sales_dataset[[#This Row],[ProductCategory]])="", R498, PROPER(TRIM(sales_dataset[[#This Row],[ProductCategory]])))</f>
        <v>Electronics</v>
      </c>
      <c r="T480" s="1" t="s">
        <v>33</v>
      </c>
      <c r="W480">
        <f>IF(TRIM(sales_dataset[[#This Row],[Quantity]])="",V486,PROPER(TRIM(sales_dataset[[#This Row],[Quantity]])))</f>
        <v>0</v>
      </c>
      <c r="Y480">
        <v>1500</v>
      </c>
      <c r="Z480" t="str">
        <f>IF(TRIM(sales_dataset[[#This Row],[UnitPrice]])="",Y482,PROPER(TRIM(sales_dataset[[#This Row],[UnitPrice]])))</f>
        <v>1500</v>
      </c>
      <c r="AC480" s="1">
        <f>IF(TRIM(sales_dataset[[#This Row],[TotalRevenue]])="",AB482,PROPER(TRIM(sales_dataset[[#This Row],[TotalRevenue]])))</f>
        <v>1500</v>
      </c>
      <c r="AD480" s="1">
        <f>ABS(sales_dataset[[#This Row],[Column5]])</f>
        <v>1500</v>
      </c>
      <c r="AE480" s="1">
        <f>sales_dataset[[#This Row],[Column17]]*sales_dataset[[#This Row],[Column16]]</f>
        <v>0</v>
      </c>
    </row>
    <row r="481" spans="3:31" x14ac:dyDescent="0.3">
      <c r="C481" s="1" t="s">
        <v>19</v>
      </c>
      <c r="F481" s="1" t="s">
        <v>72</v>
      </c>
      <c r="H481" s="1" t="s">
        <v>28</v>
      </c>
      <c r="J481" s="1" t="s">
        <v>46</v>
      </c>
      <c r="K481" s="1" t="str">
        <f>IF(TRIM(sales_dataset[[#This Row],[Region]])="", J483, PROPER(TRIM(sales_dataset[[#This Row],[Region]])))</f>
        <v>North</v>
      </c>
      <c r="N481" s="1" t="s">
        <v>48</v>
      </c>
      <c r="Q481" s="1" t="s">
        <v>82</v>
      </c>
      <c r="R481" s="1" t="str">
        <f>IF(TRIM(sales_dataset[[#This Row],[ProductCategory]])="", R499, PROPER(TRIM(sales_dataset[[#This Row],[ProductCategory]])))</f>
        <v>Electronics</v>
      </c>
      <c r="T481" s="1" t="s">
        <v>69</v>
      </c>
      <c r="V481">
        <v>5</v>
      </c>
      <c r="W481" t="str">
        <f>IF(TRIM(sales_dataset[[#This Row],[Quantity]])="",V487,PROPER(TRIM(sales_dataset[[#This Row],[Quantity]])))</f>
        <v>5</v>
      </c>
      <c r="Z481">
        <f>IF(TRIM(sales_dataset[[#This Row],[UnitPrice]])="",Y483,PROPER(TRIM(sales_dataset[[#This Row],[UnitPrice]])))</f>
        <v>2500</v>
      </c>
      <c r="AC481" s="1">
        <f>IF(TRIM(sales_dataset[[#This Row],[TotalRevenue]])="",AB483,PROPER(TRIM(sales_dataset[[#This Row],[TotalRevenue]])))</f>
        <v>-2500</v>
      </c>
      <c r="AD481" s="1">
        <f>ABS(sales_dataset[[#This Row],[Column5]])</f>
        <v>2500</v>
      </c>
      <c r="AE481" s="1">
        <f>sales_dataset[[#This Row],[Column17]]*sales_dataset[[#This Row],[Column16]]</f>
        <v>0</v>
      </c>
    </row>
    <row r="482" spans="3:31" x14ac:dyDescent="0.3">
      <c r="C482" s="1" t="s">
        <v>16</v>
      </c>
      <c r="F482" s="1" t="s">
        <v>19</v>
      </c>
      <c r="H482" s="1" t="s">
        <v>54</v>
      </c>
      <c r="J482" s="1" t="s">
        <v>19</v>
      </c>
      <c r="K482" s="1" t="str">
        <f>IF(TRIM(sales_dataset[[#This Row],[Region]])="", J484, PROPER(TRIM(sales_dataset[[#This Row],[Region]])))</f>
        <v>South</v>
      </c>
      <c r="N482" s="1" t="s">
        <v>19</v>
      </c>
      <c r="Q482" s="1" t="s">
        <v>82</v>
      </c>
      <c r="R482" s="1" t="str">
        <f>IF(TRIM(sales_dataset[[#This Row],[ProductCategory]])="", R500, PROPER(TRIM(sales_dataset[[#This Row],[ProductCategory]])))</f>
        <v>Electronics</v>
      </c>
      <c r="T482" s="1" t="s">
        <v>87</v>
      </c>
      <c r="V482">
        <v>1</v>
      </c>
      <c r="W482" t="str">
        <f>IF(TRIM(sales_dataset[[#This Row],[Quantity]])="",V488,PROPER(TRIM(sales_dataset[[#This Row],[Quantity]])))</f>
        <v>1</v>
      </c>
      <c r="Y482">
        <v>1500</v>
      </c>
      <c r="Z482" t="str">
        <f>IF(TRIM(sales_dataset[[#This Row],[UnitPrice]])="",Y484,PROPER(TRIM(sales_dataset[[#This Row],[UnitPrice]])))</f>
        <v>1500</v>
      </c>
      <c r="AB482">
        <v>1500</v>
      </c>
      <c r="AC482" s="1" t="str">
        <f>IF(TRIM(sales_dataset[[#This Row],[TotalRevenue]])="",AB484,PROPER(TRIM(sales_dataset[[#This Row],[TotalRevenue]])))</f>
        <v>1500</v>
      </c>
      <c r="AD482" s="1">
        <f>ABS(sales_dataset[[#This Row],[Column5]])</f>
        <v>1500</v>
      </c>
      <c r="AE482" s="1">
        <f>sales_dataset[[#This Row],[Column17]]*sales_dataset[[#This Row],[Column16]]</f>
        <v>0</v>
      </c>
    </row>
    <row r="483" spans="3:31" x14ac:dyDescent="0.3">
      <c r="C483" s="1" t="s">
        <v>25</v>
      </c>
      <c r="F483" s="1" t="s">
        <v>118</v>
      </c>
      <c r="H483" s="1" t="s">
        <v>54</v>
      </c>
      <c r="J483" s="1" t="s">
        <v>46</v>
      </c>
      <c r="K483" s="1" t="str">
        <f>IF(TRIM(sales_dataset[[#This Row],[Region]])="", J485, PROPER(TRIM(sales_dataset[[#This Row],[Region]])))</f>
        <v>North</v>
      </c>
      <c r="N483" s="1" t="s">
        <v>39</v>
      </c>
      <c r="Q483" s="1" t="s">
        <v>32</v>
      </c>
      <c r="R483" s="1" t="str">
        <f>IF(TRIM(sales_dataset[[#This Row],[ProductCategory]])="", R501, PROPER(TRIM(sales_dataset[[#This Row],[ProductCategory]])))</f>
        <v>Electronics</v>
      </c>
      <c r="T483" s="1" t="s">
        <v>19</v>
      </c>
      <c r="V483">
        <v>-1</v>
      </c>
      <c r="W483" t="str">
        <f>IF(TRIM(sales_dataset[[#This Row],[Quantity]])="",V489,PROPER(TRIM(sales_dataset[[#This Row],[Quantity]])))</f>
        <v>-1</v>
      </c>
      <c r="Y483">
        <v>2500</v>
      </c>
      <c r="Z483" t="str">
        <f>IF(TRIM(sales_dataset[[#This Row],[UnitPrice]])="",Y485,PROPER(TRIM(sales_dataset[[#This Row],[UnitPrice]])))</f>
        <v>2500</v>
      </c>
      <c r="AB483">
        <v>-2500</v>
      </c>
      <c r="AC483" s="1" t="str">
        <f>IF(TRIM(sales_dataset[[#This Row],[TotalRevenue]])="",AB485,PROPER(TRIM(sales_dataset[[#This Row],[TotalRevenue]])))</f>
        <v>-2500</v>
      </c>
      <c r="AD483" s="1">
        <f>ABS(sales_dataset[[#This Row],[Column5]])</f>
        <v>2500</v>
      </c>
      <c r="AE483" s="1">
        <f>sales_dataset[[#This Row],[Column17]]*sales_dataset[[#This Row],[Column16]]</f>
        <v>0</v>
      </c>
    </row>
    <row r="484" spans="3:31" x14ac:dyDescent="0.3">
      <c r="C484" s="1" t="s">
        <v>35</v>
      </c>
      <c r="F484" s="1" t="s">
        <v>72</v>
      </c>
      <c r="H484" s="1" t="s">
        <v>79</v>
      </c>
      <c r="J484" s="1" t="s">
        <v>98</v>
      </c>
      <c r="K484" s="1" t="str">
        <f>IF(TRIM(sales_dataset[[#This Row],[Region]])="", J486, PROPER(TRIM(sales_dataset[[#This Row],[Region]])))</f>
        <v>South</v>
      </c>
      <c r="N484" s="1" t="s">
        <v>56</v>
      </c>
      <c r="Q484" s="1" t="s">
        <v>32</v>
      </c>
      <c r="R484" s="1" t="str">
        <f>IF(TRIM(sales_dataset[[#This Row],[ProductCategory]])="", R502, PROPER(TRIM(sales_dataset[[#This Row],[ProductCategory]])))</f>
        <v>Electronics</v>
      </c>
      <c r="T484" s="1" t="s">
        <v>33</v>
      </c>
      <c r="V484">
        <v>4</v>
      </c>
      <c r="W484" t="str">
        <f>IF(TRIM(sales_dataset[[#This Row],[Quantity]])="",V490,PROPER(TRIM(sales_dataset[[#This Row],[Quantity]])))</f>
        <v>4</v>
      </c>
      <c r="Y484">
        <v>1500</v>
      </c>
      <c r="Z484" t="str">
        <f>IF(TRIM(sales_dataset[[#This Row],[UnitPrice]])="",Y486,PROPER(TRIM(sales_dataset[[#This Row],[UnitPrice]])))</f>
        <v>1500</v>
      </c>
      <c r="AB484">
        <v>6000</v>
      </c>
      <c r="AC484" s="1" t="str">
        <f>IF(TRIM(sales_dataset[[#This Row],[TotalRevenue]])="",AB486,PROPER(TRIM(sales_dataset[[#This Row],[TotalRevenue]])))</f>
        <v>6000</v>
      </c>
      <c r="AD484" s="1">
        <f>ABS(sales_dataset[[#This Row],[Column5]])</f>
        <v>6000</v>
      </c>
      <c r="AE484" s="1">
        <f>sales_dataset[[#This Row],[Column17]]*sales_dataset[[#This Row],[Column16]]</f>
        <v>0</v>
      </c>
    </row>
    <row r="485" spans="3:31" x14ac:dyDescent="0.3">
      <c r="C485" s="1" t="s">
        <v>43</v>
      </c>
      <c r="F485" s="1" t="s">
        <v>60</v>
      </c>
      <c r="H485" s="1" t="s">
        <v>79</v>
      </c>
      <c r="J485" s="1" t="s">
        <v>66</v>
      </c>
      <c r="K485" s="1" t="str">
        <f>IF(TRIM(sales_dataset[[#This Row],[Region]])="", J487, PROPER(TRIM(sales_dataset[[#This Row],[Region]])))</f>
        <v>West</v>
      </c>
      <c r="N485" s="1" t="s">
        <v>21</v>
      </c>
      <c r="Q485" s="1" t="s">
        <v>32</v>
      </c>
      <c r="R485" s="1" t="str">
        <f>IF(TRIM(sales_dataset[[#This Row],[ProductCategory]])="", R503, PROPER(TRIM(sales_dataset[[#This Row],[ProductCategory]])))</f>
        <v>Electronics</v>
      </c>
      <c r="T485" s="1" t="s">
        <v>76</v>
      </c>
      <c r="V485">
        <v>4</v>
      </c>
      <c r="W485" t="str">
        <f>IF(TRIM(sales_dataset[[#This Row],[Quantity]])="",V491,PROPER(TRIM(sales_dataset[[#This Row],[Quantity]])))</f>
        <v>4</v>
      </c>
      <c r="Y485">
        <v>1500</v>
      </c>
      <c r="Z485" t="str">
        <f>IF(TRIM(sales_dataset[[#This Row],[UnitPrice]])="",Y487,PROPER(TRIM(sales_dataset[[#This Row],[UnitPrice]])))</f>
        <v>1500</v>
      </c>
      <c r="AB485">
        <v>3000</v>
      </c>
      <c r="AC485" s="1" t="str">
        <f>IF(TRIM(sales_dataset[[#This Row],[TotalRevenue]])="",AB487,PROPER(TRIM(sales_dataset[[#This Row],[TotalRevenue]])))</f>
        <v>3000</v>
      </c>
      <c r="AD485" s="1">
        <f>ABS(sales_dataset[[#This Row],[Column5]])</f>
        <v>3000</v>
      </c>
      <c r="AE485" s="1">
        <f>sales_dataset[[#This Row],[Column17]]*sales_dataset[[#This Row],[Column16]]</f>
        <v>0</v>
      </c>
    </row>
    <row r="486" spans="3:31" x14ac:dyDescent="0.3">
      <c r="C486" s="1" t="s">
        <v>51</v>
      </c>
      <c r="F486" s="1" t="s">
        <v>19</v>
      </c>
      <c r="H486" s="1" t="s">
        <v>79</v>
      </c>
      <c r="J486" s="1" t="s">
        <v>66</v>
      </c>
      <c r="K486" s="1" t="str">
        <f>IF(TRIM(sales_dataset[[#This Row],[Region]])="", J488, PROPER(TRIM(sales_dataset[[#This Row],[Region]])))</f>
        <v>West</v>
      </c>
      <c r="N486" s="1" t="s">
        <v>39</v>
      </c>
      <c r="Q486" s="1" t="s">
        <v>63</v>
      </c>
      <c r="R486" s="1" t="str">
        <f>IF(TRIM(sales_dataset[[#This Row],[ProductCategory]])="", R504, PROPER(TRIM(sales_dataset[[#This Row],[ProductCategory]])))</f>
        <v>Clothing</v>
      </c>
      <c r="T486" s="1" t="s">
        <v>19</v>
      </c>
      <c r="W486">
        <f>IF(TRIM(sales_dataset[[#This Row],[Quantity]])="",V492,PROPER(TRIM(sales_dataset[[#This Row],[Quantity]])))</f>
        <v>5</v>
      </c>
      <c r="Z486">
        <f>IF(TRIM(sales_dataset[[#This Row],[UnitPrice]])="",Y488,PROPER(TRIM(sales_dataset[[#This Row],[UnitPrice]])))</f>
        <v>-100</v>
      </c>
      <c r="AC486" s="1">
        <f>IF(TRIM(sales_dataset[[#This Row],[TotalRevenue]])="",AB488,PROPER(TRIM(sales_dataset[[#This Row],[TotalRevenue]])))</f>
        <v>-500</v>
      </c>
      <c r="AD486" s="1">
        <f>ABS(sales_dataset[[#This Row],[Column5]])</f>
        <v>500</v>
      </c>
      <c r="AE486" s="1">
        <f>sales_dataset[[#This Row],[Column17]]*sales_dataset[[#This Row],[Column16]]</f>
        <v>0</v>
      </c>
    </row>
    <row r="487" spans="3:31" x14ac:dyDescent="0.3">
      <c r="C487" s="1" t="s">
        <v>19</v>
      </c>
      <c r="F487" s="1" t="s">
        <v>19</v>
      </c>
      <c r="H487" s="1" t="s">
        <v>147</v>
      </c>
      <c r="J487" s="1" t="s">
        <v>66</v>
      </c>
      <c r="K487" s="1" t="str">
        <f>IF(TRIM(sales_dataset[[#This Row],[Region]])="", J489, PROPER(TRIM(sales_dataset[[#This Row],[Region]])))</f>
        <v>West</v>
      </c>
      <c r="N487" s="1" t="s">
        <v>56</v>
      </c>
      <c r="Q487" s="1" t="s">
        <v>32</v>
      </c>
      <c r="R487" s="1" t="str">
        <f>IF(TRIM(sales_dataset[[#This Row],[ProductCategory]])="", R505, PROPER(TRIM(sales_dataset[[#This Row],[ProductCategory]])))</f>
        <v>Electronics</v>
      </c>
      <c r="T487" s="1" t="s">
        <v>33</v>
      </c>
      <c r="V487">
        <v>5</v>
      </c>
      <c r="W487" t="str">
        <f>IF(TRIM(sales_dataset[[#This Row],[Quantity]])="",V493,PROPER(TRIM(sales_dataset[[#This Row],[Quantity]])))</f>
        <v>5</v>
      </c>
      <c r="Z487">
        <f>IF(TRIM(sales_dataset[[#This Row],[UnitPrice]])="",Y489,PROPER(TRIM(sales_dataset[[#This Row],[UnitPrice]])))</f>
        <v>1500</v>
      </c>
      <c r="AC487" s="1">
        <f>IF(TRIM(sales_dataset[[#This Row],[TotalRevenue]])="",AB489,PROPER(TRIM(sales_dataset[[#This Row],[TotalRevenue]])))</f>
        <v>3000</v>
      </c>
      <c r="AD487" s="1">
        <f>ABS(sales_dataset[[#This Row],[Column5]])</f>
        <v>3000</v>
      </c>
      <c r="AE487" s="1">
        <f>sales_dataset[[#This Row],[Column17]]*sales_dataset[[#This Row],[Column16]]</f>
        <v>0</v>
      </c>
    </row>
    <row r="488" spans="3:31" x14ac:dyDescent="0.3">
      <c r="C488" s="1" t="s">
        <v>16</v>
      </c>
      <c r="F488" s="1" t="s">
        <v>118</v>
      </c>
      <c r="H488" s="1" t="s">
        <v>28</v>
      </c>
      <c r="J488" s="1" t="s">
        <v>66</v>
      </c>
      <c r="K488" s="1" t="str">
        <f>IF(TRIM(sales_dataset[[#This Row],[Region]])="", J490, PROPER(TRIM(sales_dataset[[#This Row],[Region]])))</f>
        <v>West</v>
      </c>
      <c r="N488" s="1" t="s">
        <v>21</v>
      </c>
      <c r="Q488" s="1" t="s">
        <v>32</v>
      </c>
      <c r="R488" s="1" t="str">
        <f>IF(TRIM(sales_dataset[[#This Row],[ProductCategory]])="", R506, PROPER(TRIM(sales_dataset[[#This Row],[ProductCategory]])))</f>
        <v>Electronics</v>
      </c>
      <c r="T488" s="1" t="s">
        <v>33</v>
      </c>
      <c r="V488">
        <v>5</v>
      </c>
      <c r="W488" t="str">
        <f>IF(TRIM(sales_dataset[[#This Row],[Quantity]])="",V494,PROPER(TRIM(sales_dataset[[#This Row],[Quantity]])))</f>
        <v>5</v>
      </c>
      <c r="Y488">
        <v>-100</v>
      </c>
      <c r="Z488" t="str">
        <f>IF(TRIM(sales_dataset[[#This Row],[UnitPrice]])="",Y490,PROPER(TRIM(sales_dataset[[#This Row],[UnitPrice]])))</f>
        <v>-100</v>
      </c>
      <c r="AB488">
        <v>-500</v>
      </c>
      <c r="AC488" s="1" t="str">
        <f>IF(TRIM(sales_dataset[[#This Row],[TotalRevenue]])="",AB490,PROPER(TRIM(sales_dataset[[#This Row],[TotalRevenue]])))</f>
        <v>-500</v>
      </c>
      <c r="AD488" s="1">
        <f>ABS(sales_dataset[[#This Row],[Column5]])</f>
        <v>500</v>
      </c>
      <c r="AE488" s="1">
        <f>sales_dataset[[#This Row],[Column17]]*sales_dataset[[#This Row],[Column16]]</f>
        <v>0</v>
      </c>
    </row>
    <row r="489" spans="3:31" x14ac:dyDescent="0.3">
      <c r="C489" s="1" t="s">
        <v>25</v>
      </c>
      <c r="F489" s="1" t="s">
        <v>72</v>
      </c>
      <c r="H489" s="1" t="s">
        <v>45</v>
      </c>
      <c r="J489" s="1" t="s">
        <v>98</v>
      </c>
      <c r="K489" s="1" t="str">
        <f>IF(TRIM(sales_dataset[[#This Row],[Region]])="", J491, PROPER(TRIM(sales_dataset[[#This Row],[Region]])))</f>
        <v>South</v>
      </c>
      <c r="N489" s="1" t="s">
        <v>21</v>
      </c>
      <c r="Q489" s="1" t="s">
        <v>32</v>
      </c>
      <c r="R489" s="1" t="str">
        <f>IF(TRIM(sales_dataset[[#This Row],[ProductCategory]])="", R507, PROPER(TRIM(sales_dataset[[#This Row],[ProductCategory]])))</f>
        <v>Electronics</v>
      </c>
      <c r="T489" s="1" t="s">
        <v>33</v>
      </c>
      <c r="V489">
        <v>2</v>
      </c>
      <c r="W489" t="str">
        <f>IF(TRIM(sales_dataset[[#This Row],[Quantity]])="",V495,PROPER(TRIM(sales_dataset[[#This Row],[Quantity]])))</f>
        <v>2</v>
      </c>
      <c r="Y489">
        <v>1500</v>
      </c>
      <c r="Z489" t="str">
        <f>IF(TRIM(sales_dataset[[#This Row],[UnitPrice]])="",Y491,PROPER(TRIM(sales_dataset[[#This Row],[UnitPrice]])))</f>
        <v>1500</v>
      </c>
      <c r="AB489">
        <v>3000</v>
      </c>
      <c r="AC489" s="1" t="str">
        <f>IF(TRIM(sales_dataset[[#This Row],[TotalRevenue]])="",AB491,PROPER(TRIM(sales_dataset[[#This Row],[TotalRevenue]])))</f>
        <v>3000</v>
      </c>
      <c r="AD489" s="1">
        <f>ABS(sales_dataset[[#This Row],[Column5]])</f>
        <v>3000</v>
      </c>
      <c r="AE489" s="1">
        <f>sales_dataset[[#This Row],[Column17]]*sales_dataset[[#This Row],[Column16]]</f>
        <v>0</v>
      </c>
    </row>
    <row r="490" spans="3:31" x14ac:dyDescent="0.3">
      <c r="C490" s="1" t="s">
        <v>35</v>
      </c>
      <c r="F490" s="1" t="s">
        <v>118</v>
      </c>
      <c r="H490" s="1" t="s">
        <v>79</v>
      </c>
      <c r="J490" s="1" t="s">
        <v>80</v>
      </c>
      <c r="K490" s="1" t="str">
        <f>IF(TRIM(sales_dataset[[#This Row],[Region]])="", J492, PROPER(TRIM(sales_dataset[[#This Row],[Region]])))</f>
        <v>East</v>
      </c>
      <c r="N490" s="1" t="s">
        <v>19</v>
      </c>
      <c r="Q490" s="1" t="s">
        <v>41</v>
      </c>
      <c r="R490" s="1" t="str">
        <f>IF(TRIM(sales_dataset[[#This Row],[ProductCategory]])="", R508, PROPER(TRIM(sales_dataset[[#This Row],[ProductCategory]])))</f>
        <v>Home</v>
      </c>
      <c r="T490" s="1" t="s">
        <v>95</v>
      </c>
      <c r="V490">
        <v>4</v>
      </c>
      <c r="W490" t="str">
        <f>IF(TRIM(sales_dataset[[#This Row],[Quantity]])="",V496,PROPER(TRIM(sales_dataset[[#This Row],[Quantity]])))</f>
        <v>4</v>
      </c>
      <c r="Y490">
        <v>-100</v>
      </c>
      <c r="Z490" t="str">
        <f>IF(TRIM(sales_dataset[[#This Row],[UnitPrice]])="",Y492,PROPER(TRIM(sales_dataset[[#This Row],[UnitPrice]])))</f>
        <v>-100</v>
      </c>
      <c r="AB490">
        <v>-400</v>
      </c>
      <c r="AC490" s="1" t="str">
        <f>IF(TRIM(sales_dataset[[#This Row],[TotalRevenue]])="",AB492,PROPER(TRIM(sales_dataset[[#This Row],[TotalRevenue]])))</f>
        <v>-400</v>
      </c>
      <c r="AD490" s="1">
        <f>ABS(sales_dataset[[#This Row],[Column5]])</f>
        <v>400</v>
      </c>
      <c r="AE490" s="1">
        <f>sales_dataset[[#This Row],[Column17]]*sales_dataset[[#This Row],[Column16]]</f>
        <v>0</v>
      </c>
    </row>
    <row r="491" spans="3:31" x14ac:dyDescent="0.3">
      <c r="C491" s="1" t="s">
        <v>43</v>
      </c>
      <c r="F491" s="1" t="s">
        <v>72</v>
      </c>
      <c r="H491" s="1" t="s">
        <v>73</v>
      </c>
      <c r="J491" s="1" t="s">
        <v>37</v>
      </c>
      <c r="K491" s="1" t="str">
        <f>IF(TRIM(sales_dataset[[#This Row],[Region]])="", J493, PROPER(TRIM(sales_dataset[[#This Row],[Region]])))</f>
        <v>North</v>
      </c>
      <c r="N491" s="1" t="s">
        <v>19</v>
      </c>
      <c r="Q491" s="1" t="s">
        <v>19</v>
      </c>
      <c r="R491" s="1" t="str">
        <f>IF(TRIM(sales_dataset[[#This Row],[ProductCategory]])="", R509, PROPER(TRIM(sales_dataset[[#This Row],[ProductCategory]])))</f>
        <v>Home</v>
      </c>
      <c r="T491" s="1" t="s">
        <v>33</v>
      </c>
      <c r="V491">
        <v>1</v>
      </c>
      <c r="W491" t="str">
        <f>IF(TRIM(sales_dataset[[#This Row],[Quantity]])="",V497,PROPER(TRIM(sales_dataset[[#This Row],[Quantity]])))</f>
        <v>1</v>
      </c>
      <c r="Y491">
        <v>-100</v>
      </c>
      <c r="Z491" t="str">
        <f>IF(TRIM(sales_dataset[[#This Row],[UnitPrice]])="",Y493,PROPER(TRIM(sales_dataset[[#This Row],[UnitPrice]])))</f>
        <v>-100</v>
      </c>
      <c r="AB491">
        <v>-100</v>
      </c>
      <c r="AC491" s="1" t="str">
        <f>IF(TRIM(sales_dataset[[#This Row],[TotalRevenue]])="",AB493,PROPER(TRIM(sales_dataset[[#This Row],[TotalRevenue]])))</f>
        <v>-100</v>
      </c>
      <c r="AD491" s="1">
        <f>ABS(sales_dataset[[#This Row],[Column5]])</f>
        <v>100</v>
      </c>
      <c r="AE491" s="1">
        <f>sales_dataset[[#This Row],[Column17]]*sales_dataset[[#This Row],[Column16]]</f>
        <v>0</v>
      </c>
    </row>
    <row r="492" spans="3:31" x14ac:dyDescent="0.3">
      <c r="C492" s="1" t="s">
        <v>51</v>
      </c>
      <c r="F492" s="1" t="s">
        <v>19</v>
      </c>
      <c r="H492" s="1" t="s">
        <v>54</v>
      </c>
      <c r="J492" s="1" t="s">
        <v>98</v>
      </c>
      <c r="K492" s="1" t="str">
        <f>IF(TRIM(sales_dataset[[#This Row],[Region]])="", J494, PROPER(TRIM(sales_dataset[[#This Row],[Region]])))</f>
        <v>South</v>
      </c>
      <c r="N492" s="1" t="s">
        <v>19</v>
      </c>
      <c r="Q492" s="1" t="s">
        <v>32</v>
      </c>
      <c r="R492" s="1" t="str">
        <f>IF(TRIM(sales_dataset[[#This Row],[ProductCategory]])="", R510, PROPER(TRIM(sales_dataset[[#This Row],[ProductCategory]])))</f>
        <v>Electronics</v>
      </c>
      <c r="T492" s="1" t="s">
        <v>76</v>
      </c>
      <c r="V492">
        <v>5</v>
      </c>
      <c r="W492" t="str">
        <f>IF(TRIM(sales_dataset[[#This Row],[Quantity]])="",V498,PROPER(TRIM(sales_dataset[[#This Row],[Quantity]])))</f>
        <v>5</v>
      </c>
      <c r="Y492">
        <v>2500</v>
      </c>
      <c r="Z492" t="str">
        <f>IF(TRIM(sales_dataset[[#This Row],[UnitPrice]])="",Y494,PROPER(TRIM(sales_dataset[[#This Row],[UnitPrice]])))</f>
        <v>2500</v>
      </c>
      <c r="AB492">
        <v>12500</v>
      </c>
      <c r="AC492" s="1" t="str">
        <f>IF(TRIM(sales_dataset[[#This Row],[TotalRevenue]])="",AB494,PROPER(TRIM(sales_dataset[[#This Row],[TotalRevenue]])))</f>
        <v>12500</v>
      </c>
      <c r="AD492" s="1">
        <f>ABS(sales_dataset[[#This Row],[Column5]])</f>
        <v>12500</v>
      </c>
      <c r="AE492" s="1">
        <f>sales_dataset[[#This Row],[Column17]]*sales_dataset[[#This Row],[Column16]]</f>
        <v>0</v>
      </c>
    </row>
    <row r="493" spans="3:31" x14ac:dyDescent="0.3">
      <c r="C493" s="1" t="s">
        <v>19</v>
      </c>
      <c r="F493" s="1" t="s">
        <v>19</v>
      </c>
      <c r="H493" s="1" t="s">
        <v>45</v>
      </c>
      <c r="J493" s="1" t="s">
        <v>80</v>
      </c>
      <c r="K493" s="1" t="str">
        <f>IF(TRIM(sales_dataset[[#This Row],[Region]])="", J495, PROPER(TRIM(sales_dataset[[#This Row],[Region]])))</f>
        <v>East</v>
      </c>
      <c r="N493" s="1" t="s">
        <v>56</v>
      </c>
      <c r="Q493" s="1" t="s">
        <v>82</v>
      </c>
      <c r="R493" s="1" t="str">
        <f>IF(TRIM(sales_dataset[[#This Row],[ProductCategory]])="", R511, PROPER(TRIM(sales_dataset[[#This Row],[ProductCategory]])))</f>
        <v>Electronics</v>
      </c>
      <c r="T493" s="1" t="s">
        <v>19</v>
      </c>
      <c r="W493">
        <f>IF(TRIM(sales_dataset[[#This Row],[Quantity]])="",V499,PROPER(TRIM(sales_dataset[[#This Row],[Quantity]])))</f>
        <v>4</v>
      </c>
      <c r="Y493">
        <v>2000</v>
      </c>
      <c r="Z493" t="str">
        <f>IF(TRIM(sales_dataset[[#This Row],[UnitPrice]])="",Y495,PROPER(TRIM(sales_dataset[[#This Row],[UnitPrice]])))</f>
        <v>2000</v>
      </c>
      <c r="AC493" s="1">
        <f>IF(TRIM(sales_dataset[[#This Row],[TotalRevenue]])="",AB495,PROPER(TRIM(sales_dataset[[#This Row],[TotalRevenue]])))</f>
        <v>7500</v>
      </c>
      <c r="AD493" s="1">
        <f>ABS(sales_dataset[[#This Row],[Column5]])</f>
        <v>7500</v>
      </c>
      <c r="AE493" s="1">
        <f>sales_dataset[[#This Row],[Column17]]*sales_dataset[[#This Row],[Column16]]</f>
        <v>0</v>
      </c>
    </row>
    <row r="494" spans="3:31" x14ac:dyDescent="0.3">
      <c r="C494" s="1" t="s">
        <v>16</v>
      </c>
      <c r="F494" s="1" t="s">
        <v>72</v>
      </c>
      <c r="H494" s="1" t="s">
        <v>147</v>
      </c>
      <c r="J494" s="1" t="s">
        <v>19</v>
      </c>
      <c r="K494" s="1" t="str">
        <f>IF(TRIM(sales_dataset[[#This Row],[Region]])="", J496, PROPER(TRIM(sales_dataset[[#This Row],[Region]])))</f>
        <v/>
      </c>
      <c r="N494" s="1" t="s">
        <v>48</v>
      </c>
      <c r="Q494" s="1" t="s">
        <v>32</v>
      </c>
      <c r="R494" s="1" t="str">
        <f>IF(TRIM(sales_dataset[[#This Row],[ProductCategory]])="", R512, PROPER(TRIM(sales_dataset[[#This Row],[ProductCategory]])))</f>
        <v>Electronics</v>
      </c>
      <c r="T494" s="1" t="s">
        <v>23</v>
      </c>
      <c r="V494">
        <v>1</v>
      </c>
      <c r="W494" t="str">
        <f>IF(TRIM(sales_dataset[[#This Row],[Quantity]])="",V500,PROPER(TRIM(sales_dataset[[#This Row],[Quantity]])))</f>
        <v>1</v>
      </c>
      <c r="Y494">
        <v>500</v>
      </c>
      <c r="Z494" t="str">
        <f>IF(TRIM(sales_dataset[[#This Row],[UnitPrice]])="",Y496,PROPER(TRIM(sales_dataset[[#This Row],[UnitPrice]])))</f>
        <v>500</v>
      </c>
      <c r="AB494">
        <v>500</v>
      </c>
      <c r="AC494" s="1" t="str">
        <f>IF(TRIM(sales_dataset[[#This Row],[TotalRevenue]])="",AB496,PROPER(TRIM(sales_dataset[[#This Row],[TotalRevenue]])))</f>
        <v>500</v>
      </c>
      <c r="AD494" s="1">
        <f>ABS(sales_dataset[[#This Row],[Column5]])</f>
        <v>500</v>
      </c>
      <c r="AE494" s="1">
        <f>sales_dataset[[#This Row],[Column17]]*sales_dataset[[#This Row],[Column16]]</f>
        <v>0</v>
      </c>
    </row>
    <row r="495" spans="3:31" x14ac:dyDescent="0.3">
      <c r="C495" s="1" t="s">
        <v>25</v>
      </c>
      <c r="F495" s="1" t="s">
        <v>18</v>
      </c>
      <c r="H495" s="1" t="s">
        <v>79</v>
      </c>
      <c r="J495" s="1" t="s">
        <v>80</v>
      </c>
      <c r="K495" s="1" t="str">
        <f>IF(TRIM(sales_dataset[[#This Row],[Region]])="", J497, PROPER(TRIM(sales_dataset[[#This Row],[Region]])))</f>
        <v>East</v>
      </c>
      <c r="N495" s="1" t="s">
        <v>39</v>
      </c>
      <c r="Q495" s="1" t="s">
        <v>19</v>
      </c>
      <c r="R495" s="1">
        <f>IF(TRIM(sales_dataset[[#This Row],[ProductCategory]])="", R513, PROPER(TRIM(sales_dataset[[#This Row],[ProductCategory]])))</f>
        <v>0</v>
      </c>
      <c r="T495" s="1" t="s">
        <v>76</v>
      </c>
      <c r="V495">
        <v>5</v>
      </c>
      <c r="W495" t="str">
        <f>IF(TRIM(sales_dataset[[#This Row],[Quantity]])="",V501,PROPER(TRIM(sales_dataset[[#This Row],[Quantity]])))</f>
        <v>5</v>
      </c>
      <c r="Y495">
        <v>1500</v>
      </c>
      <c r="Z495" t="str">
        <f>IF(TRIM(sales_dataset[[#This Row],[UnitPrice]])="",Y497,PROPER(TRIM(sales_dataset[[#This Row],[UnitPrice]])))</f>
        <v>1500</v>
      </c>
      <c r="AB495">
        <v>7500</v>
      </c>
      <c r="AC495" s="1" t="str">
        <f>IF(TRIM(sales_dataset[[#This Row],[TotalRevenue]])="",AB497,PROPER(TRIM(sales_dataset[[#This Row],[TotalRevenue]])))</f>
        <v>7500</v>
      </c>
      <c r="AD495" s="1">
        <f>ABS(sales_dataset[[#This Row],[Column5]])</f>
        <v>7500</v>
      </c>
      <c r="AE495" s="1">
        <f>sales_dataset[[#This Row],[Column17]]*sales_dataset[[#This Row],[Column16]]</f>
        <v>0</v>
      </c>
    </row>
    <row r="496" spans="3:31" x14ac:dyDescent="0.3">
      <c r="C496" s="1" t="s">
        <v>35</v>
      </c>
      <c r="F496" s="1" t="s">
        <v>19</v>
      </c>
      <c r="H496" s="1" t="s">
        <v>19</v>
      </c>
      <c r="J496" s="1" t="s">
        <v>19</v>
      </c>
      <c r="K496" s="1" t="str">
        <f>IF(TRIM(sales_dataset[[#This Row],[Region]])="", J498, PROPER(TRIM(sales_dataset[[#This Row],[Region]])))</f>
        <v>West</v>
      </c>
      <c r="N496" s="1" t="s">
        <v>21</v>
      </c>
      <c r="Q496" s="1" t="s">
        <v>63</v>
      </c>
      <c r="R496" s="1" t="str">
        <f>IF(TRIM(sales_dataset[[#This Row],[ProductCategory]])="", R514, PROPER(TRIM(sales_dataset[[#This Row],[ProductCategory]])))</f>
        <v>Clothing</v>
      </c>
      <c r="T496" s="1" t="s">
        <v>23</v>
      </c>
      <c r="V496">
        <v>4</v>
      </c>
      <c r="W496" t="str">
        <f>IF(TRIM(sales_dataset[[#This Row],[Quantity]])="",V502,PROPER(TRIM(sales_dataset[[#This Row],[Quantity]])))</f>
        <v>4</v>
      </c>
      <c r="Y496">
        <v>2500</v>
      </c>
      <c r="Z496" t="str">
        <f>IF(TRIM(sales_dataset[[#This Row],[UnitPrice]])="",Y498,PROPER(TRIM(sales_dataset[[#This Row],[UnitPrice]])))</f>
        <v>2500</v>
      </c>
      <c r="AB496">
        <v>10000</v>
      </c>
      <c r="AC496" s="1" t="str">
        <f>IF(TRIM(sales_dataset[[#This Row],[TotalRevenue]])="",AB498,PROPER(TRIM(sales_dataset[[#This Row],[TotalRevenue]])))</f>
        <v>10000</v>
      </c>
      <c r="AD496" s="1">
        <f>ABS(sales_dataset[[#This Row],[Column5]])</f>
        <v>10000</v>
      </c>
      <c r="AE496" s="1">
        <f>sales_dataset[[#This Row],[Column17]]*sales_dataset[[#This Row],[Column16]]</f>
        <v>0</v>
      </c>
    </row>
    <row r="497" spans="3:31" x14ac:dyDescent="0.3">
      <c r="C497" s="1" t="s">
        <v>43</v>
      </c>
      <c r="F497" s="1" t="s">
        <v>72</v>
      </c>
      <c r="H497" s="1" t="s">
        <v>54</v>
      </c>
      <c r="J497" s="1" t="s">
        <v>80</v>
      </c>
      <c r="K497" s="1" t="str">
        <f>IF(TRIM(sales_dataset[[#This Row],[Region]])="", J499, PROPER(TRIM(sales_dataset[[#This Row],[Region]])))</f>
        <v>East</v>
      </c>
      <c r="N497" s="1" t="s">
        <v>56</v>
      </c>
      <c r="Q497" s="1" t="s">
        <v>63</v>
      </c>
      <c r="R497" s="1" t="str">
        <f>IF(TRIM(sales_dataset[[#This Row],[ProductCategory]])="", R515, PROPER(TRIM(sales_dataset[[#This Row],[ProductCategory]])))</f>
        <v>Clothing</v>
      </c>
      <c r="T497" s="1" t="s">
        <v>19</v>
      </c>
      <c r="V497">
        <v>-1</v>
      </c>
      <c r="W497" t="str">
        <f>IF(TRIM(sales_dataset[[#This Row],[Quantity]])="",V503,PROPER(TRIM(sales_dataset[[#This Row],[Quantity]])))</f>
        <v>-1</v>
      </c>
      <c r="Y497">
        <v>1500</v>
      </c>
      <c r="Z497" t="str">
        <f>IF(TRIM(sales_dataset[[#This Row],[UnitPrice]])="",Y499,PROPER(TRIM(sales_dataset[[#This Row],[UnitPrice]])))</f>
        <v>1500</v>
      </c>
      <c r="AB497">
        <v>-1500</v>
      </c>
      <c r="AC497" s="1" t="str">
        <f>IF(TRIM(sales_dataset[[#This Row],[TotalRevenue]])="",AB499,PROPER(TRIM(sales_dataset[[#This Row],[TotalRevenue]])))</f>
        <v>-1500</v>
      </c>
      <c r="AD497" s="1">
        <f>ABS(sales_dataset[[#This Row],[Column5]])</f>
        <v>1500</v>
      </c>
      <c r="AE497" s="1">
        <f>sales_dataset[[#This Row],[Column17]]*sales_dataset[[#This Row],[Column16]]</f>
        <v>0</v>
      </c>
    </row>
    <row r="498" spans="3:31" x14ac:dyDescent="0.3">
      <c r="C498" s="1" t="s">
        <v>51</v>
      </c>
      <c r="F498" s="1" t="s">
        <v>19</v>
      </c>
      <c r="H498" s="1" t="s">
        <v>19</v>
      </c>
      <c r="J498" s="1" t="s">
        <v>66</v>
      </c>
      <c r="K498" s="1" t="str">
        <f>IF(TRIM(sales_dataset[[#This Row],[Region]])="", J500, PROPER(TRIM(sales_dataset[[#This Row],[Region]])))</f>
        <v>West</v>
      </c>
      <c r="N498" s="1" t="s">
        <v>21</v>
      </c>
      <c r="Q498" s="1" t="s">
        <v>32</v>
      </c>
      <c r="R498" s="1" t="str">
        <f>IF(TRIM(sales_dataset[[#This Row],[ProductCategory]])="", R516, PROPER(TRIM(sales_dataset[[#This Row],[ProductCategory]])))</f>
        <v>Electronics</v>
      </c>
      <c r="T498" s="1" t="s">
        <v>87</v>
      </c>
      <c r="V498">
        <v>5</v>
      </c>
      <c r="W498" t="str">
        <f>IF(TRIM(sales_dataset[[#This Row],[Quantity]])="",V504,PROPER(TRIM(sales_dataset[[#This Row],[Quantity]])))</f>
        <v>5</v>
      </c>
      <c r="Y498">
        <v>500</v>
      </c>
      <c r="Z498" t="str">
        <f>IF(TRIM(sales_dataset[[#This Row],[UnitPrice]])="",Y500,PROPER(TRIM(sales_dataset[[#This Row],[UnitPrice]])))</f>
        <v>500</v>
      </c>
      <c r="AB498">
        <v>2500</v>
      </c>
      <c r="AC498" s="1" t="str">
        <f>IF(TRIM(sales_dataset[[#This Row],[TotalRevenue]])="",AB500,PROPER(TRIM(sales_dataset[[#This Row],[TotalRevenue]])))</f>
        <v>2500</v>
      </c>
      <c r="AD498" s="1">
        <f>ABS(sales_dataset[[#This Row],[Column5]])</f>
        <v>2500</v>
      </c>
      <c r="AE498" s="1">
        <f>sales_dataset[[#This Row],[Column17]]*sales_dataset[[#This Row],[Column16]]</f>
        <v>0</v>
      </c>
    </row>
    <row r="499" spans="3:31" x14ac:dyDescent="0.3">
      <c r="C499" s="1" t="s">
        <v>19</v>
      </c>
      <c r="F499" s="1" t="s">
        <v>118</v>
      </c>
      <c r="H499" s="1" t="s">
        <v>28</v>
      </c>
      <c r="J499" s="1" t="s">
        <v>98</v>
      </c>
      <c r="K499" s="1" t="str">
        <f>IF(TRIM(sales_dataset[[#This Row],[Region]])="", J501, PROPER(TRIM(sales_dataset[[#This Row],[Region]])))</f>
        <v>South</v>
      </c>
      <c r="N499" s="1" t="s">
        <v>56</v>
      </c>
      <c r="Q499" s="1" t="s">
        <v>82</v>
      </c>
      <c r="R499" s="1" t="str">
        <f>IF(TRIM(sales_dataset[[#This Row],[ProductCategory]])="", R517, PROPER(TRIM(sales_dataset[[#This Row],[ProductCategory]])))</f>
        <v>Electronics</v>
      </c>
      <c r="T499" s="1" t="s">
        <v>95</v>
      </c>
      <c r="V499">
        <v>4</v>
      </c>
      <c r="W499" t="str">
        <f>IF(TRIM(sales_dataset[[#This Row],[Quantity]])="",V505,PROPER(TRIM(sales_dataset[[#This Row],[Quantity]])))</f>
        <v>4</v>
      </c>
      <c r="Y499">
        <v>2000</v>
      </c>
      <c r="Z499" t="str">
        <f>IF(TRIM(sales_dataset[[#This Row],[UnitPrice]])="",Y501,PROPER(TRIM(sales_dataset[[#This Row],[UnitPrice]])))</f>
        <v>2000</v>
      </c>
      <c r="AB499">
        <v>8000</v>
      </c>
      <c r="AC499" s="1" t="str">
        <f>IF(TRIM(sales_dataset[[#This Row],[TotalRevenue]])="",AB501,PROPER(TRIM(sales_dataset[[#This Row],[TotalRevenue]])))</f>
        <v>8000</v>
      </c>
      <c r="AD499" s="1">
        <f>ABS(sales_dataset[[#This Row],[Column5]])</f>
        <v>8000</v>
      </c>
      <c r="AE499" s="1">
        <f>sales_dataset[[#This Row],[Column17]]*sales_dataset[[#This Row],[Column16]]</f>
        <v>0</v>
      </c>
    </row>
    <row r="500" spans="3:31" x14ac:dyDescent="0.3">
      <c r="C500" s="1" t="s">
        <v>16</v>
      </c>
      <c r="F500" s="1" t="s">
        <v>60</v>
      </c>
      <c r="H500" s="1" t="s">
        <v>79</v>
      </c>
      <c r="J500" s="1" t="s">
        <v>80</v>
      </c>
      <c r="K500" s="1" t="str">
        <f>IF(TRIM(sales_dataset[[#This Row],[Region]])="", J502, PROPER(TRIM(sales_dataset[[#This Row],[Region]])))</f>
        <v>East</v>
      </c>
      <c r="N500" s="1" t="s">
        <v>21</v>
      </c>
      <c r="Q500" s="1" t="s">
        <v>82</v>
      </c>
      <c r="R500" s="1" t="str">
        <f>IF(TRIM(sales_dataset[[#This Row],[ProductCategory]])="", R518, PROPER(TRIM(sales_dataset[[#This Row],[ProductCategory]])))</f>
        <v>Electronics</v>
      </c>
      <c r="T500" s="1" t="s">
        <v>95</v>
      </c>
      <c r="V500">
        <v>5</v>
      </c>
      <c r="W500" t="str">
        <f>IF(TRIM(sales_dataset[[#This Row],[Quantity]])="",V506,PROPER(TRIM(sales_dataset[[#This Row],[Quantity]])))</f>
        <v>5</v>
      </c>
      <c r="Y500">
        <v>2000</v>
      </c>
      <c r="Z500" t="str">
        <f>IF(TRIM(sales_dataset[[#This Row],[UnitPrice]])="",Y502,PROPER(TRIM(sales_dataset[[#This Row],[UnitPrice]])))</f>
        <v>2000</v>
      </c>
      <c r="AB500">
        <v>10000</v>
      </c>
      <c r="AC500" s="1" t="str">
        <f>IF(TRIM(sales_dataset[[#This Row],[TotalRevenue]])="",AB502,PROPER(TRIM(sales_dataset[[#This Row],[TotalRevenue]])))</f>
        <v>10000</v>
      </c>
      <c r="AD500" s="1">
        <f>ABS(sales_dataset[[#This Row],[Column5]])</f>
        <v>10000</v>
      </c>
      <c r="AE500" s="1">
        <f>sales_dataset[[#This Row],[Column17]]*sales_dataset[[#This Row],[Column16]]</f>
        <v>0</v>
      </c>
    </row>
    <row r="501" spans="3:31" x14ac:dyDescent="0.3">
      <c r="C501" s="1" t="s">
        <v>25</v>
      </c>
      <c r="F501" s="1" t="s">
        <v>18</v>
      </c>
      <c r="H501" s="1" t="s">
        <v>79</v>
      </c>
      <c r="J501" s="1" t="s">
        <v>37</v>
      </c>
      <c r="K501" s="1" t="str">
        <f>IF(TRIM(sales_dataset[[#This Row],[Region]])="", J503, PROPER(TRIM(sales_dataset[[#This Row],[Region]])))</f>
        <v>North</v>
      </c>
      <c r="N501" s="1" t="s">
        <v>30</v>
      </c>
      <c r="Q501" s="1" t="s">
        <v>41</v>
      </c>
      <c r="R501" s="1" t="str">
        <f>IF(TRIM(sales_dataset[[#This Row],[ProductCategory]])="", R519, PROPER(TRIM(sales_dataset[[#This Row],[ProductCategory]])))</f>
        <v>Home</v>
      </c>
      <c r="T501" s="1" t="s">
        <v>95</v>
      </c>
      <c r="V501">
        <v>-1</v>
      </c>
      <c r="W501" t="str">
        <f>IF(TRIM(sales_dataset[[#This Row],[Quantity]])="",V507,PROPER(TRIM(sales_dataset[[#This Row],[Quantity]])))</f>
        <v>-1</v>
      </c>
      <c r="Y501">
        <v>1500</v>
      </c>
      <c r="Z501" t="str">
        <f>IF(TRIM(sales_dataset[[#This Row],[UnitPrice]])="",Y503,PROPER(TRIM(sales_dataset[[#This Row],[UnitPrice]])))</f>
        <v>1500</v>
      </c>
      <c r="AB501">
        <v>-1500</v>
      </c>
      <c r="AC501" s="1" t="str">
        <f>IF(TRIM(sales_dataset[[#This Row],[TotalRevenue]])="",AB503,PROPER(TRIM(sales_dataset[[#This Row],[TotalRevenue]])))</f>
        <v>-1500</v>
      </c>
      <c r="AD501" s="1">
        <f>ABS(sales_dataset[[#This Row],[Column5]])</f>
        <v>1500</v>
      </c>
      <c r="AE501" s="1">
        <f>sales_dataset[[#This Row],[Column17]]*sales_dataset[[#This Row],[Column16]]</f>
        <v>0</v>
      </c>
    </row>
    <row r="502" spans="3:31" x14ac:dyDescent="0.3">
      <c r="C502" s="1" t="s">
        <v>25</v>
      </c>
      <c r="F502" s="1" t="s">
        <v>19</v>
      </c>
      <c r="H502" s="1" t="s">
        <v>28</v>
      </c>
      <c r="J502" s="1" t="s">
        <v>80</v>
      </c>
      <c r="K502" s="1" t="str">
        <f>IF(TRIM(sales_dataset[[#This Row],[Region]])="", J504, PROPER(TRIM(sales_dataset[[#This Row],[Region]])))</f>
        <v>East</v>
      </c>
      <c r="N502" s="1" t="s">
        <v>48</v>
      </c>
      <c r="Q502" s="1" t="s">
        <v>41</v>
      </c>
      <c r="R502" s="1" t="str">
        <f>IF(TRIM(sales_dataset[[#This Row],[ProductCategory]])="", R520, PROPER(TRIM(sales_dataset[[#This Row],[ProductCategory]])))</f>
        <v>Home</v>
      </c>
      <c r="T502" s="1" t="s">
        <v>95</v>
      </c>
      <c r="V502">
        <v>-1</v>
      </c>
      <c r="W502" t="str">
        <f>IF(TRIM(sales_dataset[[#This Row],[Quantity]])="",V508,PROPER(TRIM(sales_dataset[[#This Row],[Quantity]])))</f>
        <v>-1</v>
      </c>
      <c r="Y502">
        <v>1500</v>
      </c>
      <c r="Z502" t="str">
        <f>IF(TRIM(sales_dataset[[#This Row],[UnitPrice]])="",Y504,PROPER(TRIM(sales_dataset[[#This Row],[UnitPrice]])))</f>
        <v>1500</v>
      </c>
      <c r="AB502">
        <v>-750</v>
      </c>
      <c r="AC502" s="1" t="str">
        <f>IF(TRIM(sales_dataset[[#This Row],[TotalRevenue]])="",AB504,PROPER(TRIM(sales_dataset[[#This Row],[TotalRevenue]])))</f>
        <v>-750</v>
      </c>
      <c r="AD502" s="1">
        <f>ABS(sales_dataset[[#This Row],[Column5]])</f>
        <v>750</v>
      </c>
      <c r="AE502" s="1">
        <f>sales_dataset[[#This Row],[Column17]]*sales_dataset[[#This Row],[Column16]]</f>
        <v>0</v>
      </c>
    </row>
    <row r="503" spans="3:31" x14ac:dyDescent="0.3">
      <c r="C503" s="1" t="s">
        <v>25</v>
      </c>
      <c r="F503" s="1" t="s">
        <v>60</v>
      </c>
      <c r="H503" s="1" t="s">
        <v>79</v>
      </c>
      <c r="J503" s="1" t="s">
        <v>80</v>
      </c>
      <c r="K503" s="1" t="str">
        <f>IF(TRIM(sales_dataset[[#This Row],[Region]])="", J505, PROPER(TRIM(sales_dataset[[#This Row],[Region]])))</f>
        <v>East</v>
      </c>
      <c r="N503" s="1" t="s">
        <v>30</v>
      </c>
      <c r="Q503" s="1" t="s">
        <v>19</v>
      </c>
      <c r="R503" s="1">
        <f>IF(TRIM(sales_dataset[[#This Row],[ProductCategory]])="", R521, PROPER(TRIM(sales_dataset[[#This Row],[ProductCategory]])))</f>
        <v>0</v>
      </c>
      <c r="T503" s="1" t="s">
        <v>76</v>
      </c>
      <c r="V503">
        <v>1</v>
      </c>
      <c r="W503" t="str">
        <f>IF(TRIM(sales_dataset[[#This Row],[Quantity]])="",V509,PROPER(TRIM(sales_dataset[[#This Row],[Quantity]])))</f>
        <v>1</v>
      </c>
      <c r="Y503">
        <v>500</v>
      </c>
      <c r="Z503" t="str">
        <f>IF(TRIM(sales_dataset[[#This Row],[UnitPrice]])="",Y505,PROPER(TRIM(sales_dataset[[#This Row],[UnitPrice]])))</f>
        <v>500</v>
      </c>
      <c r="AB503">
        <v>500</v>
      </c>
      <c r="AC503" s="1" t="str">
        <f>IF(TRIM(sales_dataset[[#This Row],[TotalRevenue]])="",AB505,PROPER(TRIM(sales_dataset[[#This Row],[TotalRevenue]])))</f>
        <v>500</v>
      </c>
      <c r="AD503" s="1">
        <f>ABS(sales_dataset[[#This Row],[Column5]])</f>
        <v>500</v>
      </c>
      <c r="AE503" s="1">
        <f>sales_dataset[[#This Row],[Column17]]*sales_dataset[[#This Row],[Column16]]</f>
        <v>0</v>
      </c>
    </row>
    <row r="504" spans="3:31" x14ac:dyDescent="0.3">
      <c r="C504" s="1" t="s">
        <v>35</v>
      </c>
      <c r="F504" s="1" t="s">
        <v>19</v>
      </c>
      <c r="H504" s="1" t="s">
        <v>79</v>
      </c>
      <c r="J504" s="1" t="s">
        <v>98</v>
      </c>
      <c r="K504" s="1" t="str">
        <f>IF(TRIM(sales_dataset[[#This Row],[Region]])="", J506, PROPER(TRIM(sales_dataset[[#This Row],[Region]])))</f>
        <v>South</v>
      </c>
      <c r="N504" s="1" t="s">
        <v>56</v>
      </c>
      <c r="Q504" s="1" t="s">
        <v>82</v>
      </c>
      <c r="R504" s="1" t="str">
        <f>IF(TRIM(sales_dataset[[#This Row],[ProductCategory]])="", R522, PROPER(TRIM(sales_dataset[[#This Row],[ProductCategory]])))</f>
        <v>Electronics</v>
      </c>
      <c r="T504" s="1" t="s">
        <v>69</v>
      </c>
      <c r="V504">
        <v>-1</v>
      </c>
      <c r="W504" t="str">
        <f>IF(TRIM(sales_dataset[[#This Row],[Quantity]])="",V510,PROPER(TRIM(sales_dataset[[#This Row],[Quantity]])))</f>
        <v>-1</v>
      </c>
      <c r="Y504">
        <v>500</v>
      </c>
      <c r="Z504" t="str">
        <f>IF(TRIM(sales_dataset[[#This Row],[UnitPrice]])="",Y506,PROPER(TRIM(sales_dataset[[#This Row],[UnitPrice]])))</f>
        <v>500</v>
      </c>
      <c r="AB504">
        <v>-500</v>
      </c>
      <c r="AC504" s="1" t="str">
        <f>IF(TRIM(sales_dataset[[#This Row],[TotalRevenue]])="",AB506,PROPER(TRIM(sales_dataset[[#This Row],[TotalRevenue]])))</f>
        <v>-500</v>
      </c>
      <c r="AD504" s="1">
        <f>ABS(sales_dataset[[#This Row],[Column5]])</f>
        <v>500</v>
      </c>
      <c r="AE504" s="1">
        <f>sales_dataset[[#This Row],[Column17]]*sales_dataset[[#This Row],[Column16]]</f>
        <v>0</v>
      </c>
    </row>
    <row r="505" spans="3:31" x14ac:dyDescent="0.3">
      <c r="C505" s="1" t="s">
        <v>19</v>
      </c>
      <c r="F505" s="1" t="s">
        <v>60</v>
      </c>
      <c r="H505" s="1" t="s">
        <v>28</v>
      </c>
      <c r="J505" s="1" t="s">
        <v>19</v>
      </c>
      <c r="K505" s="1" t="str">
        <f>IF(TRIM(sales_dataset[[#This Row],[Region]])="", J507, PROPER(TRIM(sales_dataset[[#This Row],[Region]])))</f>
        <v>West</v>
      </c>
      <c r="N505" s="1" t="s">
        <v>56</v>
      </c>
      <c r="Q505" s="1" t="s">
        <v>19</v>
      </c>
      <c r="R505" s="1">
        <f>IF(TRIM(sales_dataset[[#This Row],[ProductCategory]])="", R523, PROPER(TRIM(sales_dataset[[#This Row],[ProductCategory]])))</f>
        <v>0</v>
      </c>
      <c r="T505" s="1" t="s">
        <v>19</v>
      </c>
      <c r="W505">
        <f>IF(TRIM(sales_dataset[[#This Row],[Quantity]])="",V511,PROPER(TRIM(sales_dataset[[#This Row],[Quantity]])))</f>
        <v>4</v>
      </c>
      <c r="Y505">
        <v>1500</v>
      </c>
      <c r="Z505" t="str">
        <f>IF(TRIM(sales_dataset[[#This Row],[UnitPrice]])="",Y507,PROPER(TRIM(sales_dataset[[#This Row],[UnitPrice]])))</f>
        <v>1500</v>
      </c>
      <c r="AC505" s="1">
        <f>IF(TRIM(sales_dataset[[#This Row],[TotalRevenue]])="",AB507,PROPER(TRIM(sales_dataset[[#This Row],[TotalRevenue]])))</f>
        <v>0</v>
      </c>
      <c r="AD505" s="1">
        <f>ABS(sales_dataset[[#This Row],[Column5]])</f>
        <v>0</v>
      </c>
      <c r="AE505" s="1">
        <f>sales_dataset[[#This Row],[Column17]]*sales_dataset[[#This Row],[Column16]]</f>
        <v>0</v>
      </c>
    </row>
    <row r="506" spans="3:31" x14ac:dyDescent="0.3">
      <c r="C506" s="1" t="s">
        <v>35</v>
      </c>
      <c r="F506" s="1" t="s">
        <v>18</v>
      </c>
      <c r="H506" s="1" t="s">
        <v>79</v>
      </c>
      <c r="J506" s="1" t="s">
        <v>80</v>
      </c>
      <c r="K506" s="1" t="str">
        <f>IF(TRIM(sales_dataset[[#This Row],[Region]])="", J508, PROPER(TRIM(sales_dataset[[#This Row],[Region]])))</f>
        <v>East</v>
      </c>
      <c r="N506" s="1" t="s">
        <v>56</v>
      </c>
      <c r="Q506" s="1" t="s">
        <v>63</v>
      </c>
      <c r="R506" s="1" t="str">
        <f>IF(TRIM(sales_dataset[[#This Row],[ProductCategory]])="", R524, PROPER(TRIM(sales_dataset[[#This Row],[ProductCategory]])))</f>
        <v>Clothing</v>
      </c>
      <c r="T506" s="1" t="s">
        <v>87</v>
      </c>
      <c r="V506">
        <v>3</v>
      </c>
      <c r="W506" t="str">
        <f>IF(TRIM(sales_dataset[[#This Row],[Quantity]])="",V512,PROPER(TRIM(sales_dataset[[#This Row],[Quantity]])))</f>
        <v>3</v>
      </c>
      <c r="Y506">
        <v>2500</v>
      </c>
      <c r="Z506" t="str">
        <f>IF(TRIM(sales_dataset[[#This Row],[UnitPrice]])="",Y508,PROPER(TRIM(sales_dataset[[#This Row],[UnitPrice]])))</f>
        <v>2500</v>
      </c>
      <c r="AB506">
        <v>7500</v>
      </c>
      <c r="AC506" s="1" t="str">
        <f>IF(TRIM(sales_dataset[[#This Row],[TotalRevenue]])="",AB508,PROPER(TRIM(sales_dataset[[#This Row],[TotalRevenue]])))</f>
        <v>7500</v>
      </c>
      <c r="AD506" s="1">
        <f>ABS(sales_dataset[[#This Row],[Column5]])</f>
        <v>7500</v>
      </c>
      <c r="AE506" s="1">
        <f>sales_dataset[[#This Row],[Column17]]*sales_dataset[[#This Row],[Column16]]</f>
        <v>0</v>
      </c>
    </row>
    <row r="507" spans="3:31" x14ac:dyDescent="0.3">
      <c r="C507" s="1" t="s">
        <v>51</v>
      </c>
      <c r="F507" s="1" t="s">
        <v>18</v>
      </c>
      <c r="H507" s="1" t="s">
        <v>54</v>
      </c>
      <c r="J507" s="1" t="s">
        <v>66</v>
      </c>
      <c r="K507" s="1" t="str">
        <f>IF(TRIM(sales_dataset[[#This Row],[Region]])="", J509, PROPER(TRIM(sales_dataset[[#This Row],[Region]])))</f>
        <v>West</v>
      </c>
      <c r="N507" s="1" t="s">
        <v>56</v>
      </c>
      <c r="Q507" s="1" t="s">
        <v>19</v>
      </c>
      <c r="R507" s="1">
        <f>IF(TRIM(sales_dataset[[#This Row],[ProductCategory]])="", R525, PROPER(TRIM(sales_dataset[[#This Row],[ProductCategory]])))</f>
        <v>0</v>
      </c>
      <c r="T507" s="1" t="s">
        <v>33</v>
      </c>
      <c r="V507">
        <v>4</v>
      </c>
      <c r="W507" t="str">
        <f>IF(TRIM(sales_dataset[[#This Row],[Quantity]])="",V513,PROPER(TRIM(sales_dataset[[#This Row],[Quantity]])))</f>
        <v>4</v>
      </c>
      <c r="Z507">
        <f>IF(TRIM(sales_dataset[[#This Row],[UnitPrice]])="",Y509,PROPER(TRIM(sales_dataset[[#This Row],[UnitPrice]])))</f>
        <v>2500</v>
      </c>
      <c r="AC507" s="1">
        <f>IF(TRIM(sales_dataset[[#This Row],[TotalRevenue]])="",AB509,PROPER(TRIM(sales_dataset[[#This Row],[TotalRevenue]])))</f>
        <v>0</v>
      </c>
      <c r="AD507" s="1">
        <f>ABS(sales_dataset[[#This Row],[Column5]])</f>
        <v>0</v>
      </c>
      <c r="AE507" s="1">
        <f>sales_dataset[[#This Row],[Column17]]*sales_dataset[[#This Row],[Column16]]</f>
        <v>0</v>
      </c>
    </row>
    <row r="508" spans="3:31" x14ac:dyDescent="0.3">
      <c r="C508" s="1" t="s">
        <v>19</v>
      </c>
      <c r="F508" s="1" t="s">
        <v>60</v>
      </c>
      <c r="H508" s="1" t="s">
        <v>19</v>
      </c>
      <c r="J508" s="1" t="s">
        <v>46</v>
      </c>
      <c r="K508" s="1" t="str">
        <f>IF(TRIM(sales_dataset[[#This Row],[Region]])="", J510, PROPER(TRIM(sales_dataset[[#This Row],[Region]])))</f>
        <v>North</v>
      </c>
      <c r="N508" s="1" t="s">
        <v>48</v>
      </c>
      <c r="Q508" s="1" t="s">
        <v>32</v>
      </c>
      <c r="R508" s="1" t="str">
        <f>IF(TRIM(sales_dataset[[#This Row],[ProductCategory]])="", R526, PROPER(TRIM(sales_dataset[[#This Row],[ProductCategory]])))</f>
        <v>Electronics</v>
      </c>
      <c r="T508" s="1" t="s">
        <v>87</v>
      </c>
      <c r="V508">
        <v>4</v>
      </c>
      <c r="W508" t="str">
        <f>IF(TRIM(sales_dataset[[#This Row],[Quantity]])="",V514,PROPER(TRIM(sales_dataset[[#This Row],[Quantity]])))</f>
        <v>4</v>
      </c>
      <c r="Z508">
        <f>IF(TRIM(sales_dataset[[#This Row],[UnitPrice]])="",Y510,PROPER(TRIM(sales_dataset[[#This Row],[UnitPrice]])))</f>
        <v>0</v>
      </c>
      <c r="AC508" s="1">
        <f>IF(TRIM(sales_dataset[[#This Row],[TotalRevenue]])="",AB510,PROPER(TRIM(sales_dataset[[#This Row],[TotalRevenue]])))</f>
        <v>0</v>
      </c>
      <c r="AD508" s="1">
        <f>ABS(sales_dataset[[#This Row],[Column5]])</f>
        <v>0</v>
      </c>
      <c r="AE508" s="1">
        <f>sales_dataset[[#This Row],[Column17]]*sales_dataset[[#This Row],[Column16]]</f>
        <v>0</v>
      </c>
    </row>
    <row r="509" spans="3:31" x14ac:dyDescent="0.3">
      <c r="C509" s="1" t="s">
        <v>51</v>
      </c>
      <c r="F509" s="1" t="s">
        <v>18</v>
      </c>
      <c r="H509" s="1" t="s">
        <v>54</v>
      </c>
      <c r="J509" s="1" t="s">
        <v>46</v>
      </c>
      <c r="K509" s="1" t="str">
        <f>IF(TRIM(sales_dataset[[#This Row],[Region]])="", J511, PROPER(TRIM(sales_dataset[[#This Row],[Region]])))</f>
        <v>North</v>
      </c>
      <c r="N509" s="1" t="s">
        <v>39</v>
      </c>
      <c r="Q509" s="1" t="s">
        <v>41</v>
      </c>
      <c r="R509" s="1" t="str">
        <f>IF(TRIM(sales_dataset[[#This Row],[ProductCategory]])="", R527, PROPER(TRIM(sales_dataset[[#This Row],[ProductCategory]])))</f>
        <v>Home</v>
      </c>
      <c r="T509" s="1" t="s">
        <v>69</v>
      </c>
      <c r="W509">
        <f>IF(TRIM(sales_dataset[[#This Row],[Quantity]])="",V515,PROPER(TRIM(sales_dataset[[#This Row],[Quantity]])))</f>
        <v>0</v>
      </c>
      <c r="Y509">
        <v>2500</v>
      </c>
      <c r="Z509" t="str">
        <f>IF(TRIM(sales_dataset[[#This Row],[UnitPrice]])="",Y511,PROPER(TRIM(sales_dataset[[#This Row],[UnitPrice]])))</f>
        <v>2500</v>
      </c>
      <c r="AC509" s="1">
        <f>IF(TRIM(sales_dataset[[#This Row],[TotalRevenue]])="",AB511,PROPER(TRIM(sales_dataset[[#This Row],[TotalRevenue]])))</f>
        <v>3000</v>
      </c>
      <c r="AD509" s="1">
        <f>ABS(sales_dataset[[#This Row],[Column5]])</f>
        <v>3000</v>
      </c>
      <c r="AE509" s="1">
        <f>sales_dataset[[#This Row],[Column17]]*sales_dataset[[#This Row],[Column16]]</f>
        <v>0</v>
      </c>
    </row>
    <row r="510" spans="3:31" x14ac:dyDescent="0.3">
      <c r="C510" s="1" t="s">
        <v>35</v>
      </c>
      <c r="F510" s="1" t="s">
        <v>60</v>
      </c>
      <c r="H510" s="1" t="s">
        <v>54</v>
      </c>
      <c r="J510" s="1" t="s">
        <v>66</v>
      </c>
      <c r="K510" s="1" t="str">
        <f>IF(TRIM(sales_dataset[[#This Row],[Region]])="", J512, PROPER(TRIM(sales_dataset[[#This Row],[Region]])))</f>
        <v>West</v>
      </c>
      <c r="N510" s="1" t="s">
        <v>48</v>
      </c>
      <c r="Q510" s="1" t="s">
        <v>41</v>
      </c>
      <c r="R510" s="1" t="str">
        <f>IF(TRIM(sales_dataset[[#This Row],[ProductCategory]])="", R528, PROPER(TRIM(sales_dataset[[#This Row],[ProductCategory]])))</f>
        <v>Home</v>
      </c>
      <c r="T510" s="1" t="s">
        <v>76</v>
      </c>
      <c r="V510">
        <v>-1</v>
      </c>
      <c r="W510" t="str">
        <f>IF(TRIM(sales_dataset[[#This Row],[Quantity]])="",V516,PROPER(TRIM(sales_dataset[[#This Row],[Quantity]])))</f>
        <v>-1</v>
      </c>
      <c r="Z510">
        <f>IF(TRIM(sales_dataset[[#This Row],[UnitPrice]])="",Y512,PROPER(TRIM(sales_dataset[[#This Row],[UnitPrice]])))</f>
        <v>0</v>
      </c>
      <c r="AC510" s="1">
        <f>IF(TRIM(sales_dataset[[#This Row],[TotalRevenue]])="",AB512,PROPER(TRIM(sales_dataset[[#This Row],[TotalRevenue]])))</f>
        <v>0</v>
      </c>
      <c r="AD510" s="1">
        <f>ABS(sales_dataset[[#This Row],[Column5]])</f>
        <v>0</v>
      </c>
      <c r="AE510" s="1">
        <f>sales_dataset[[#This Row],[Column17]]*sales_dataset[[#This Row],[Column16]]</f>
        <v>0</v>
      </c>
    </row>
    <row r="511" spans="3:31" x14ac:dyDescent="0.3">
      <c r="C511" s="1" t="s">
        <v>16</v>
      </c>
      <c r="F511" s="1" t="s">
        <v>27</v>
      </c>
      <c r="H511" s="1" t="s">
        <v>147</v>
      </c>
      <c r="J511" s="1" t="s">
        <v>37</v>
      </c>
      <c r="K511" s="1" t="str">
        <f>IF(TRIM(sales_dataset[[#This Row],[Region]])="", J513, PROPER(TRIM(sales_dataset[[#This Row],[Region]])))</f>
        <v>North</v>
      </c>
      <c r="N511" s="1" t="s">
        <v>56</v>
      </c>
      <c r="Q511" s="1" t="s">
        <v>32</v>
      </c>
      <c r="R511" s="1" t="str">
        <f>IF(TRIM(sales_dataset[[#This Row],[ProductCategory]])="", R529, PROPER(TRIM(sales_dataset[[#This Row],[ProductCategory]])))</f>
        <v>Electronics</v>
      </c>
      <c r="T511" s="1" t="s">
        <v>19</v>
      </c>
      <c r="V511">
        <v>4</v>
      </c>
      <c r="W511" t="str">
        <f>IF(TRIM(sales_dataset[[#This Row],[Quantity]])="",V517,PROPER(TRIM(sales_dataset[[#This Row],[Quantity]])))</f>
        <v>4</v>
      </c>
      <c r="Y511">
        <v>1500</v>
      </c>
      <c r="Z511" t="str">
        <f>IF(TRIM(sales_dataset[[#This Row],[UnitPrice]])="",Y513,PROPER(TRIM(sales_dataset[[#This Row],[UnitPrice]])))</f>
        <v>1500</v>
      </c>
      <c r="AB511">
        <v>3000</v>
      </c>
      <c r="AC511" s="1" t="str">
        <f>IF(TRIM(sales_dataset[[#This Row],[TotalRevenue]])="",AB513,PROPER(TRIM(sales_dataset[[#This Row],[TotalRevenue]])))</f>
        <v>3000</v>
      </c>
      <c r="AD511" s="1">
        <f>ABS(sales_dataset[[#This Row],[Column5]])</f>
        <v>3000</v>
      </c>
      <c r="AE511" s="1">
        <f>sales_dataset[[#This Row],[Column17]]*sales_dataset[[#This Row],[Column16]]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F870A6-A295-4A29-A4AF-DBC00A033D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</dc:creator>
  <cp:lastModifiedBy>SANJAY M</cp:lastModifiedBy>
  <dcterms:created xsi:type="dcterms:W3CDTF">2025-11-06T03:35:54Z</dcterms:created>
  <dcterms:modified xsi:type="dcterms:W3CDTF">2025-11-06T06:37:21Z</dcterms:modified>
</cp:coreProperties>
</file>